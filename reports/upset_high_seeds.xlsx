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set higher seeds" sheetId="1" state="visible" r:id="rId1"/>
  </sheets>
  <definedNames>
    <definedName name="_xlnm._FilterDatabase" localSheetId="0" hidden="1">'Upset higher seeds'!$A$5:$N$174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b val="1"/>
      <sz val="9"/>
    </font>
    <font>
      <name val="Arial"/>
      <sz val="9"/>
    </font>
    <font>
      <name val="Arial"/>
      <b val="1"/>
      <color rgb="00FFFFFF"/>
    </font>
    <font>
      <name val="Arial"/>
      <sz val="10"/>
    </font>
    <font>
      <name val="Arial"/>
      <b val="1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FFF2A8"/>
      </patternFill>
    </fill>
    <fill>
      <patternFill patternType="solid">
        <fgColor rgb="00FFC98B"/>
      </patternFill>
    </fill>
    <fill>
      <patternFill patternType="solid">
        <fgColor rgb="00F4A6A6"/>
      </patternFill>
    </fill>
    <fill>
      <patternFill patternType="solid">
        <fgColor rgb="0014213D"/>
      </patternFill>
    </fill>
  </fills>
  <borders count="2">
    <border>
      <left/>
      <right/>
      <top/>
      <bottom/>
      <diagonal/>
    </border>
    <border>
      <bottom style="thin">
        <color rgb="00D5D9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5" fillId="5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left"/>
    </xf>
    <xf numFmtId="0" fontId="8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4A6A6"/>
          <bgColor rgb="00F4A6A6"/>
        </patternFill>
      </fill>
    </dxf>
    <dxf>
      <fill>
        <patternFill patternType="solid">
          <fgColor rgb="00FFF2A8"/>
          <bgColor rgb="00FFF2A8"/>
        </patternFill>
      </fill>
    </dxf>
    <dxf>
      <fill>
        <patternFill patternType="solid">
          <fgColor rgb="00FFC98B"/>
          <bgColor rgb="00FFC98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.9" customWidth="1" min="1" max="1"/>
    <col width="16" customWidth="1" min="2" max="2"/>
    <col width="17.7" customWidth="1" min="3" max="3"/>
    <col width="19" customWidth="1" min="4" max="4"/>
    <col width="40.3" customWidth="1" min="5" max="5"/>
    <col width="16.7" customWidth="1" min="6" max="6"/>
    <col width="11.6" customWidth="1" min="7" max="7"/>
    <col width="9.699999999999999" customWidth="1" min="8" max="8"/>
    <col width="11.6" customWidth="1" min="9" max="9"/>
    <col width="15.3" customWidth="1" min="10" max="10"/>
    <col width="13.6" customWidth="1" min="11" max="11"/>
    <col width="13.6" customWidth="1" min="12" max="12"/>
    <col width="15.3" customWidth="1" min="13" max="13"/>
    <col width="13.6" customWidth="1" min="14" max="14"/>
  </cols>
  <sheetData>
    <row r="1" ht="16.5" customHeight="1">
      <c r="A1" s="1" t="inlineStr">
        <is>
          <t>Higher seeds upset in the NCAA tournament by a team 4+ seed lines worse, 2010–2026</t>
        </is>
      </c>
    </row>
    <row r="2">
      <c r="A2" s="2" t="inlineStr">
        <is>
          <t>169 games (First Four not included). November = the team's games in November of that season. Top 40 = that season's pre-tournament top 40 by Strongside net rating; the top-40 record counts November games only.</t>
        </is>
      </c>
    </row>
    <row r="3">
      <c r="A3" s="3" t="inlineStr">
        <is>
          <t>Key:</t>
        </is>
      </c>
      <c r="C3" s="4" t="inlineStr">
        <is>
          <t>2+ November losses</t>
        </is>
      </c>
      <c r="E3" s="5" t="inlineStr">
        <is>
          <t>No November games vs top 40 (not battle tested)</t>
        </is>
      </c>
      <c r="G3" s="6" t="inlineStr">
        <is>
          <t>Both</t>
        </is>
      </c>
    </row>
    <row r="5" ht="48.75" customHeight="1">
      <c r="A5" s="7" t="inlineStr">
        <is>
          <t>Year</t>
        </is>
      </c>
      <c r="B5" s="7" t="inlineStr">
        <is>
          <t>Exit round</t>
        </is>
      </c>
      <c r="C5" s="7" t="inlineStr">
        <is>
          <t>Seed</t>
        </is>
      </c>
      <c r="D5" s="7" t="inlineStr">
        <is>
          <t>Team (upset)</t>
        </is>
      </c>
      <c r="E5" s="7" t="inlineStr">
        <is>
          <t>Upset by seed</t>
        </is>
      </c>
      <c r="F5" s="7" t="inlineStr">
        <is>
          <t>Upset by</t>
        </is>
      </c>
      <c r="G5" s="7" t="inlineStr">
        <is>
          <t>Score</t>
        </is>
      </c>
      <c r="H5" s="7" t="inlineStr">
        <is>
          <t>Nov W</t>
        </is>
      </c>
      <c r="I5" s="7" t="inlineStr">
        <is>
          <t>Nov L</t>
        </is>
      </c>
      <c r="J5" s="7" t="inlineStr">
        <is>
          <t>November record</t>
        </is>
      </c>
      <c r="K5" s="7" t="inlineStr">
        <is>
          <t>Nov top-40 W</t>
        </is>
      </c>
      <c r="L5" s="7" t="inlineStr">
        <is>
          <t>Nov top-40 L</t>
        </is>
      </c>
      <c r="M5" s="7" t="inlineStr">
        <is>
          <t>November record vs top 40</t>
        </is>
      </c>
      <c r="N5" s="7" t="inlineStr">
        <is>
          <t>Nov top-40 games</t>
        </is>
      </c>
    </row>
    <row r="6">
      <c r="A6" s="8" t="n">
        <v>2014</v>
      </c>
      <c r="B6" s="9" t="inlineStr">
        <is>
          <t>Final Four</t>
        </is>
      </c>
      <c r="C6" s="8" t="n">
        <v>1</v>
      </c>
      <c r="D6" s="9" t="inlineStr">
        <is>
          <t>Florida</t>
        </is>
      </c>
      <c r="E6" s="8" t="n">
        <v>7</v>
      </c>
      <c r="F6" s="9" t="inlineStr">
        <is>
          <t>UConn</t>
        </is>
      </c>
      <c r="G6" s="8" t="inlineStr">
        <is>
          <t>63–53</t>
        </is>
      </c>
      <c r="H6" s="8" t="n">
        <v>6</v>
      </c>
      <c r="I6" s="8" t="n">
        <v>1</v>
      </c>
      <c r="J6" s="8">
        <f>H6&amp;"-"&amp;I6</f>
        <v/>
      </c>
      <c r="K6" s="8" t="n">
        <v>1</v>
      </c>
      <c r="L6" s="8" t="n">
        <v>1</v>
      </c>
      <c r="M6" s="8">
        <f>K6&amp;"-"&amp;L6</f>
        <v/>
      </c>
      <c r="N6" s="8">
        <f>K6+L6</f>
        <v/>
      </c>
    </row>
    <row r="7">
      <c r="A7" s="8" t="n">
        <v>2014</v>
      </c>
      <c r="B7" s="9" t="inlineStr">
        <is>
          <t>Final Four</t>
        </is>
      </c>
      <c r="C7" s="8" t="n">
        <v>2</v>
      </c>
      <c r="D7" s="9" t="inlineStr">
        <is>
          <t>Wisconsin</t>
        </is>
      </c>
      <c r="E7" s="8" t="n">
        <v>8</v>
      </c>
      <c r="F7" s="9" t="inlineStr">
        <is>
          <t>Kentucky</t>
        </is>
      </c>
      <c r="G7" s="8" t="inlineStr">
        <is>
          <t>74–73</t>
        </is>
      </c>
      <c r="H7" s="8" t="n">
        <v>8</v>
      </c>
      <c r="I7" s="8" t="n">
        <v>0</v>
      </c>
      <c r="J7" s="8">
        <f>H7&amp;"-"&amp;I7</f>
        <v/>
      </c>
      <c r="K7" s="8" t="n">
        <v>3</v>
      </c>
      <c r="L7" s="8" t="n">
        <v>0</v>
      </c>
      <c r="M7" s="8">
        <f>K7&amp;"-"&amp;L7</f>
        <v/>
      </c>
      <c r="N7" s="8">
        <f>K7+L7</f>
        <v/>
      </c>
    </row>
    <row r="8">
      <c r="A8" s="8" t="n">
        <v>2022</v>
      </c>
      <c r="B8" s="9" t="inlineStr">
        <is>
          <t>Final Four</t>
        </is>
      </c>
      <c r="C8" s="8" t="n">
        <v>2</v>
      </c>
      <c r="D8" s="9" t="inlineStr">
        <is>
          <t>Duke</t>
        </is>
      </c>
      <c r="E8" s="8" t="n">
        <v>8</v>
      </c>
      <c r="F8" s="9" t="inlineStr">
        <is>
          <t>North Carolina</t>
        </is>
      </c>
      <c r="G8" s="8" t="inlineStr">
        <is>
          <t>81–77</t>
        </is>
      </c>
      <c r="H8" s="8" t="n">
        <v>7</v>
      </c>
      <c r="I8" s="8" t="n">
        <v>1</v>
      </c>
      <c r="J8" s="8">
        <f>H8&amp;"-"&amp;I8</f>
        <v/>
      </c>
      <c r="K8" s="8" t="n">
        <v>2</v>
      </c>
      <c r="L8" s="8" t="n">
        <v>1</v>
      </c>
      <c r="M8" s="8">
        <f>K8&amp;"-"&amp;L8</f>
        <v/>
      </c>
      <c r="N8" s="8">
        <f>K8+L8</f>
        <v/>
      </c>
    </row>
    <row r="9">
      <c r="A9" s="8" t="n">
        <v>2011</v>
      </c>
      <c r="B9" s="9" t="inlineStr">
        <is>
          <t>Elite Eight</t>
        </is>
      </c>
      <c r="C9" s="8" t="n">
        <v>1</v>
      </c>
      <c r="D9" s="9" t="inlineStr">
        <is>
          <t>Kansas</t>
        </is>
      </c>
      <c r="E9" s="8" t="n">
        <v>11</v>
      </c>
      <c r="F9" s="9" t="inlineStr">
        <is>
          <t>VCU</t>
        </is>
      </c>
      <c r="G9" s="8" t="inlineStr">
        <is>
          <t>71–61</t>
        </is>
      </c>
      <c r="H9" s="8" t="n">
        <v>6</v>
      </c>
      <c r="I9" s="8" t="n">
        <v>0</v>
      </c>
      <c r="J9" s="8">
        <f>H9&amp;"-"&amp;I9</f>
        <v/>
      </c>
      <c r="K9" s="8" t="n">
        <v>1</v>
      </c>
      <c r="L9" s="8" t="n">
        <v>0</v>
      </c>
      <c r="M9" s="8">
        <f>K9&amp;"-"&amp;L9</f>
        <v/>
      </c>
      <c r="N9" s="8">
        <f>K9+L9</f>
        <v/>
      </c>
    </row>
    <row r="10">
      <c r="A10" s="8" t="n">
        <v>2011</v>
      </c>
      <c r="B10" s="9" t="inlineStr">
        <is>
          <t>Elite Eight</t>
        </is>
      </c>
      <c r="C10" s="8" t="n">
        <v>2</v>
      </c>
      <c r="D10" s="9" t="inlineStr">
        <is>
          <t>Florida</t>
        </is>
      </c>
      <c r="E10" s="8" t="n">
        <v>8</v>
      </c>
      <c r="F10" s="9" t="inlineStr">
        <is>
          <t>Butler</t>
        </is>
      </c>
      <c r="G10" s="8" t="inlineStr">
        <is>
          <t>74–71</t>
        </is>
      </c>
      <c r="H10" s="8" t="n">
        <v>5</v>
      </c>
      <c r="I10" s="8" t="n">
        <v>1</v>
      </c>
      <c r="J10" s="8">
        <f>H10&amp;"-"&amp;I10</f>
        <v/>
      </c>
      <c r="K10" s="8" t="n">
        <v>0</v>
      </c>
      <c r="L10" s="8" t="n">
        <v>1</v>
      </c>
      <c r="M10" s="8">
        <f>K10&amp;"-"&amp;L10</f>
        <v/>
      </c>
      <c r="N10" s="8">
        <f>K10+L10</f>
        <v/>
      </c>
    </row>
    <row r="11">
      <c r="A11" s="8" t="n">
        <v>2013</v>
      </c>
      <c r="B11" s="9" t="inlineStr">
        <is>
          <t>Elite Eight</t>
        </is>
      </c>
      <c r="C11" s="8" t="n">
        <v>2</v>
      </c>
      <c r="D11" s="9" t="inlineStr">
        <is>
          <t>Ohio St.</t>
        </is>
      </c>
      <c r="E11" s="8" t="n">
        <v>9</v>
      </c>
      <c r="F11" s="9" t="inlineStr">
        <is>
          <t>Wichita St.</t>
        </is>
      </c>
      <c r="G11" s="8" t="inlineStr">
        <is>
          <t>70–66</t>
        </is>
      </c>
      <c r="H11" s="8" t="n">
        <v>4</v>
      </c>
      <c r="I11" s="8" t="n">
        <v>1</v>
      </c>
      <c r="J11" s="8">
        <f>H11&amp;"-"&amp;I11</f>
        <v/>
      </c>
      <c r="K11" s="8" t="n">
        <v>0</v>
      </c>
      <c r="L11" s="8" t="n">
        <v>1</v>
      </c>
      <c r="M11" s="8">
        <f>K11&amp;"-"&amp;L11</f>
        <v/>
      </c>
      <c r="N11" s="8">
        <f>K11+L11</f>
        <v/>
      </c>
    </row>
    <row r="12">
      <c r="A12" s="8" t="n">
        <v>2014</v>
      </c>
      <c r="B12" s="9" t="inlineStr">
        <is>
          <t>Elite Eight</t>
        </is>
      </c>
      <c r="C12" s="8" t="n">
        <v>2</v>
      </c>
      <c r="D12" s="9" t="inlineStr">
        <is>
          <t>Michigan</t>
        </is>
      </c>
      <c r="E12" s="8" t="n">
        <v>8</v>
      </c>
      <c r="F12" s="9" t="inlineStr">
        <is>
          <t>Kentucky</t>
        </is>
      </c>
      <c r="G12" s="8" t="inlineStr">
        <is>
          <t>75–72</t>
        </is>
      </c>
      <c r="H12" s="8" t="n">
        <v>5</v>
      </c>
      <c r="I12" s="8" t="n">
        <v>2</v>
      </c>
      <c r="J12" s="8">
        <f>H12&amp;"-"&amp;I12</f>
        <v/>
      </c>
      <c r="K12" s="8" t="n">
        <v>1</v>
      </c>
      <c r="L12" s="8" t="n">
        <v>1</v>
      </c>
      <c r="M12" s="8">
        <f>K12&amp;"-"&amp;L12</f>
        <v/>
      </c>
      <c r="N12" s="8">
        <f>K12+L12</f>
        <v/>
      </c>
    </row>
    <row r="13">
      <c r="A13" s="8" t="n">
        <v>2016</v>
      </c>
      <c r="B13" s="9" t="inlineStr">
        <is>
          <t>Elite Eight</t>
        </is>
      </c>
      <c r="C13" s="8" t="n">
        <v>1</v>
      </c>
      <c r="D13" s="9" t="inlineStr">
        <is>
          <t>Virginia</t>
        </is>
      </c>
      <c r="E13" s="8" t="n">
        <v>10</v>
      </c>
      <c r="F13" s="9" t="inlineStr">
        <is>
          <t>Syracuse</t>
        </is>
      </c>
      <c r="G13" s="8" t="inlineStr">
        <is>
          <t>68–62</t>
        </is>
      </c>
      <c r="H13" s="8" t="n">
        <v>5</v>
      </c>
      <c r="I13" s="8" t="n">
        <v>1</v>
      </c>
      <c r="J13" s="8">
        <f>H13&amp;"-"&amp;I13</f>
        <v/>
      </c>
      <c r="K13" s="8" t="n">
        <v>0</v>
      </c>
      <c r="L13" s="8" t="n">
        <v>0</v>
      </c>
      <c r="M13" s="8">
        <f>K13&amp;"-"&amp;L13</f>
        <v/>
      </c>
      <c r="N13" s="8">
        <f>K13+L13</f>
        <v/>
      </c>
    </row>
    <row r="14">
      <c r="A14" s="8" t="n">
        <v>2021</v>
      </c>
      <c r="B14" s="9" t="inlineStr">
        <is>
          <t>Elite Eight</t>
        </is>
      </c>
      <c r="C14" s="8" t="n">
        <v>1</v>
      </c>
      <c r="D14" s="9" t="inlineStr">
        <is>
          <t>Michigan</t>
        </is>
      </c>
      <c r="E14" s="8" t="n">
        <v>11</v>
      </c>
      <c r="F14" s="9" t="inlineStr">
        <is>
          <t>UCLA</t>
        </is>
      </c>
      <c r="G14" s="8" t="inlineStr">
        <is>
          <t>51–49</t>
        </is>
      </c>
      <c r="H14" s="8" t="n">
        <v>2</v>
      </c>
      <c r="I14" s="8" t="n">
        <v>0</v>
      </c>
      <c r="J14" s="8">
        <f>H14&amp;"-"&amp;I14</f>
        <v/>
      </c>
      <c r="K14" s="8" t="n">
        <v>0</v>
      </c>
      <c r="L14" s="8" t="n">
        <v>0</v>
      </c>
      <c r="M14" s="8">
        <f>K14&amp;"-"&amp;L14</f>
        <v/>
      </c>
      <c r="N14" s="8">
        <f>K14+L14</f>
        <v/>
      </c>
    </row>
    <row r="15">
      <c r="A15" s="8" t="n">
        <v>2023</v>
      </c>
      <c r="B15" s="9" t="inlineStr">
        <is>
          <t>Elite Eight</t>
        </is>
      </c>
      <c r="C15" s="8" t="n">
        <v>3</v>
      </c>
      <c r="D15" s="9" t="inlineStr">
        <is>
          <t>Kansas St.</t>
        </is>
      </c>
      <c r="E15" s="8" t="n">
        <v>9</v>
      </c>
      <c r="F15" s="9" t="inlineStr">
        <is>
          <t>Fla. Atlantic</t>
        </is>
      </c>
      <c r="G15" s="8" t="inlineStr">
        <is>
          <t>79–76</t>
        </is>
      </c>
      <c r="H15" s="8" t="n">
        <v>6</v>
      </c>
      <c r="I15" s="8" t="n">
        <v>1</v>
      </c>
      <c r="J15" s="8">
        <f>H15&amp;"-"&amp;I15</f>
        <v/>
      </c>
      <c r="K15" s="8" t="n">
        <v>0</v>
      </c>
      <c r="L15" s="8" t="n">
        <v>0</v>
      </c>
      <c r="M15" s="8">
        <f>K15&amp;"-"&amp;L15</f>
        <v/>
      </c>
      <c r="N15" s="8">
        <f>K15+L15</f>
        <v/>
      </c>
    </row>
    <row r="16">
      <c r="A16" s="8" t="n">
        <v>2024</v>
      </c>
      <c r="B16" s="9" t="inlineStr">
        <is>
          <t>Elite Eight</t>
        </is>
      </c>
      <c r="C16" s="8" t="n">
        <v>4</v>
      </c>
      <c r="D16" s="9" t="inlineStr">
        <is>
          <t>Duke</t>
        </is>
      </c>
      <c r="E16" s="8" t="n">
        <v>11</v>
      </c>
      <c r="F16" s="9" t="inlineStr">
        <is>
          <t>NC State</t>
        </is>
      </c>
      <c r="G16" s="8" t="inlineStr">
        <is>
          <t>76–64</t>
        </is>
      </c>
      <c r="H16" s="8" t="n">
        <v>5</v>
      </c>
      <c r="I16" s="8" t="n">
        <v>2</v>
      </c>
      <c r="J16" s="8">
        <f>H16&amp;"-"&amp;I16</f>
        <v/>
      </c>
      <c r="K16" s="8" t="n">
        <v>1</v>
      </c>
      <c r="L16" s="8" t="n">
        <v>1</v>
      </c>
      <c r="M16" s="8">
        <f>K16&amp;"-"&amp;L16</f>
        <v/>
      </c>
      <c r="N16" s="8">
        <f>K16+L16</f>
        <v/>
      </c>
    </row>
    <row r="17">
      <c r="A17" s="8" t="n">
        <v>2010</v>
      </c>
      <c r="B17" s="9" t="inlineStr">
        <is>
          <t>Sweet 16</t>
        </is>
      </c>
      <c r="C17" s="8" t="n">
        <v>1</v>
      </c>
      <c r="D17" s="9" t="inlineStr">
        <is>
          <t>Syracuse</t>
        </is>
      </c>
      <c r="E17" s="8" t="n">
        <v>5</v>
      </c>
      <c r="F17" s="9" t="inlineStr">
        <is>
          <t>Butler</t>
        </is>
      </c>
      <c r="G17" s="8" t="inlineStr">
        <is>
          <t>63–59</t>
        </is>
      </c>
      <c r="H17" s="8" t="n">
        <v>4</v>
      </c>
      <c r="I17" s="8" t="n">
        <v>0</v>
      </c>
      <c r="J17" s="8">
        <f>H17&amp;"-"&amp;I17</f>
        <v/>
      </c>
      <c r="K17" s="8" t="n">
        <v>0</v>
      </c>
      <c r="L17" s="8" t="n">
        <v>0</v>
      </c>
      <c r="M17" s="8">
        <f>K17&amp;"-"&amp;L17</f>
        <v/>
      </c>
      <c r="N17" s="8">
        <f>K17+L17</f>
        <v/>
      </c>
    </row>
    <row r="18">
      <c r="A18" s="8" t="n">
        <v>2010</v>
      </c>
      <c r="B18" s="9" t="inlineStr">
        <is>
          <t>Sweet 16</t>
        </is>
      </c>
      <c r="C18" s="8" t="n">
        <v>2</v>
      </c>
      <c r="D18" s="9" t="inlineStr">
        <is>
          <t>Ohio St.</t>
        </is>
      </c>
      <c r="E18" s="8" t="n">
        <v>6</v>
      </c>
      <c r="F18" s="9" t="inlineStr">
        <is>
          <t>Tennessee</t>
        </is>
      </c>
      <c r="G18" s="8" t="inlineStr">
        <is>
          <t>76–73</t>
        </is>
      </c>
      <c r="H18" s="8" t="n">
        <v>5</v>
      </c>
      <c r="I18" s="8" t="n">
        <v>0</v>
      </c>
      <c r="J18" s="8">
        <f>H18&amp;"-"&amp;I18</f>
        <v/>
      </c>
      <c r="K18" s="8" t="n">
        <v>1</v>
      </c>
      <c r="L18" s="8" t="n">
        <v>0</v>
      </c>
      <c r="M18" s="8">
        <f>K18&amp;"-"&amp;L18</f>
        <v/>
      </c>
      <c r="N18" s="8">
        <f>K18+L18</f>
        <v/>
      </c>
    </row>
    <row r="19">
      <c r="A19" s="8" t="n">
        <v>2011</v>
      </c>
      <c r="B19" s="9" t="inlineStr">
        <is>
          <t>Sweet 16</t>
        </is>
      </c>
      <c r="C19" s="8" t="n">
        <v>1</v>
      </c>
      <c r="D19" s="9" t="inlineStr">
        <is>
          <t>Duke</t>
        </is>
      </c>
      <c r="E19" s="8" t="n">
        <v>5</v>
      </c>
      <c r="F19" s="9" t="inlineStr">
        <is>
          <t>Arizona</t>
        </is>
      </c>
      <c r="G19" s="8" t="inlineStr">
        <is>
          <t>93–77</t>
        </is>
      </c>
      <c r="H19" s="8" t="n">
        <v>6</v>
      </c>
      <c r="I19" s="8" t="n">
        <v>0</v>
      </c>
      <c r="J19" s="8">
        <f>H19&amp;"-"&amp;I19</f>
        <v/>
      </c>
      <c r="K19" s="8" t="n">
        <v>2</v>
      </c>
      <c r="L19" s="8" t="n">
        <v>0</v>
      </c>
      <c r="M19" s="8">
        <f>K19&amp;"-"&amp;L19</f>
        <v/>
      </c>
      <c r="N19" s="8">
        <f>K19+L19</f>
        <v/>
      </c>
    </row>
    <row r="20">
      <c r="A20" s="8" t="n">
        <v>2011</v>
      </c>
      <c r="B20" s="9" t="inlineStr">
        <is>
          <t>Sweet 16</t>
        </is>
      </c>
      <c r="C20" s="8" t="n">
        <v>4</v>
      </c>
      <c r="D20" s="9" t="inlineStr">
        <is>
          <t>Wisconsin</t>
        </is>
      </c>
      <c r="E20" s="8" t="n">
        <v>8</v>
      </c>
      <c r="F20" s="9" t="inlineStr">
        <is>
          <t>Butler</t>
        </is>
      </c>
      <c r="G20" s="8" t="inlineStr">
        <is>
          <t>61–54</t>
        </is>
      </c>
      <c r="H20" s="8" t="n">
        <v>4</v>
      </c>
      <c r="I20" s="8" t="n">
        <v>2</v>
      </c>
      <c r="J20" s="8">
        <f>H20&amp;"-"&amp;I20</f>
        <v/>
      </c>
      <c r="K20" s="8" t="n">
        <v>0</v>
      </c>
      <c r="L20" s="8" t="n">
        <v>2</v>
      </c>
      <c r="M20" s="8">
        <f>K20&amp;"-"&amp;L20</f>
        <v/>
      </c>
      <c r="N20" s="8">
        <f>K20+L20</f>
        <v/>
      </c>
    </row>
    <row r="21">
      <c r="A21" s="8" t="n">
        <v>2012</v>
      </c>
      <c r="B21" s="9" t="inlineStr">
        <is>
          <t>Sweet 16</t>
        </is>
      </c>
      <c r="C21" s="8" t="n">
        <v>3</v>
      </c>
      <c r="D21" s="9" t="inlineStr">
        <is>
          <t>Marquette</t>
        </is>
      </c>
      <c r="E21" s="8" t="n">
        <v>7</v>
      </c>
      <c r="F21" s="9" t="inlineStr">
        <is>
          <t>Florida</t>
        </is>
      </c>
      <c r="G21" s="8" t="inlineStr">
        <is>
          <t>68–58</t>
        </is>
      </c>
      <c r="H21" s="8" t="n">
        <v>6</v>
      </c>
      <c r="I21" s="8" t="n">
        <v>0</v>
      </c>
      <c r="J21" s="8">
        <f>H21&amp;"-"&amp;I21</f>
        <v/>
      </c>
      <c r="K21" s="8" t="n">
        <v>0</v>
      </c>
      <c r="L21" s="8" t="n">
        <v>0</v>
      </c>
      <c r="M21" s="8">
        <f>K21&amp;"-"&amp;L21</f>
        <v/>
      </c>
      <c r="N21" s="8">
        <f>K21+L21</f>
        <v/>
      </c>
    </row>
    <row r="22">
      <c r="A22" s="8" t="n">
        <v>2014</v>
      </c>
      <c r="B22" s="9" t="inlineStr">
        <is>
          <t>Sweet 16</t>
        </is>
      </c>
      <c r="C22" s="8" t="n">
        <v>3</v>
      </c>
      <c r="D22" s="9" t="inlineStr">
        <is>
          <t>Iowa St.</t>
        </is>
      </c>
      <c r="E22" s="8" t="n">
        <v>7</v>
      </c>
      <c r="F22" s="9" t="inlineStr">
        <is>
          <t>UConn</t>
        </is>
      </c>
      <c r="G22" s="8" t="inlineStr">
        <is>
          <t>81–76</t>
        </is>
      </c>
      <c r="H22" s="8" t="n">
        <v>5</v>
      </c>
      <c r="I22" s="8" t="n">
        <v>0</v>
      </c>
      <c r="J22" s="8">
        <f>H22&amp;"-"&amp;I22</f>
        <v/>
      </c>
      <c r="K22" s="8" t="n">
        <v>1</v>
      </c>
      <c r="L22" s="8" t="n">
        <v>0</v>
      </c>
      <c r="M22" s="8">
        <f>K22&amp;"-"&amp;L22</f>
        <v/>
      </c>
      <c r="N22" s="8">
        <f>K22+L22</f>
        <v/>
      </c>
    </row>
    <row r="23">
      <c r="A23" s="8" t="n">
        <v>2014</v>
      </c>
      <c r="B23" s="9" t="inlineStr">
        <is>
          <t>Sweet 16</t>
        </is>
      </c>
      <c r="C23" s="8" t="n">
        <v>4</v>
      </c>
      <c r="D23" s="9" t="inlineStr">
        <is>
          <t>Louisville</t>
        </is>
      </c>
      <c r="E23" s="8" t="n">
        <v>8</v>
      </c>
      <c r="F23" s="9" t="inlineStr">
        <is>
          <t>Kentucky</t>
        </is>
      </c>
      <c r="G23" s="8" t="inlineStr">
        <is>
          <t>74–69</t>
        </is>
      </c>
      <c r="H23" s="8" t="n">
        <v>6</v>
      </c>
      <c r="I23" s="8" t="n">
        <v>1</v>
      </c>
      <c r="J23" s="8">
        <f>H23&amp;"-"&amp;I23</f>
        <v/>
      </c>
      <c r="K23" s="8" t="n">
        <v>0</v>
      </c>
      <c r="L23" s="8" t="n">
        <v>1</v>
      </c>
      <c r="M23" s="8">
        <f>K23&amp;"-"&amp;L23</f>
        <v/>
      </c>
      <c r="N23" s="8">
        <f>K23+L23</f>
        <v/>
      </c>
    </row>
    <row r="24">
      <c r="A24" s="8" t="n">
        <v>2015</v>
      </c>
      <c r="B24" s="9" t="inlineStr">
        <is>
          <t>Sweet 16</t>
        </is>
      </c>
      <c r="C24" s="8" t="n">
        <v>3</v>
      </c>
      <c r="D24" s="9" t="inlineStr">
        <is>
          <t>Oklahoma</t>
        </is>
      </c>
      <c r="E24" s="8" t="n">
        <v>7</v>
      </c>
      <c r="F24" s="9" t="inlineStr">
        <is>
          <t>Michigan St.</t>
        </is>
      </c>
      <c r="G24" s="8" t="inlineStr">
        <is>
          <t>62–58</t>
        </is>
      </c>
      <c r="H24" s="8" t="n">
        <v>4</v>
      </c>
      <c r="I24" s="8" t="n">
        <v>2</v>
      </c>
      <c r="J24" s="8">
        <f>H24&amp;"-"&amp;I24</f>
        <v/>
      </c>
      <c r="K24" s="8" t="n">
        <v>1</v>
      </c>
      <c r="L24" s="8" t="n">
        <v>1</v>
      </c>
      <c r="M24" s="8">
        <f>K24&amp;"-"&amp;L24</f>
        <v/>
      </c>
      <c r="N24" s="8">
        <f>K24+L24</f>
        <v/>
      </c>
    </row>
    <row r="25">
      <c r="A25" s="8" t="n">
        <v>2017</v>
      </c>
      <c r="B25" s="9" t="inlineStr">
        <is>
          <t>Sweet 16</t>
        </is>
      </c>
      <c r="C25" s="8" t="n">
        <v>2</v>
      </c>
      <c r="D25" s="9" t="inlineStr">
        <is>
          <t>Arizona</t>
        </is>
      </c>
      <c r="E25" s="8" t="n">
        <v>11</v>
      </c>
      <c r="F25" s="9" t="inlineStr">
        <is>
          <t>Xavier</t>
        </is>
      </c>
      <c r="G25" s="8" t="inlineStr">
        <is>
          <t>73–71</t>
        </is>
      </c>
      <c r="H25" s="8" t="n">
        <v>6</v>
      </c>
      <c r="I25" s="8" t="n">
        <v>1</v>
      </c>
      <c r="J25" s="8">
        <f>H25&amp;"-"&amp;I25</f>
        <v/>
      </c>
      <c r="K25" s="8" t="n">
        <v>0</v>
      </c>
      <c r="L25" s="8" t="n">
        <v>1</v>
      </c>
      <c r="M25" s="8">
        <f>K25&amp;"-"&amp;L25</f>
        <v/>
      </c>
      <c r="N25" s="8">
        <f>K25+L25</f>
        <v/>
      </c>
    </row>
    <row r="26">
      <c r="A26" s="8" t="n">
        <v>2017</v>
      </c>
      <c r="B26" s="9" t="inlineStr">
        <is>
          <t>Sweet 16</t>
        </is>
      </c>
      <c r="C26" s="8" t="n">
        <v>3</v>
      </c>
      <c r="D26" s="9" t="inlineStr">
        <is>
          <t>Baylor</t>
        </is>
      </c>
      <c r="E26" s="8" t="n">
        <v>7</v>
      </c>
      <c r="F26" s="9" t="inlineStr">
        <is>
          <t>South Carolina</t>
        </is>
      </c>
      <c r="G26" s="8" t="inlineStr">
        <is>
          <t>70–50</t>
        </is>
      </c>
      <c r="H26" s="8" t="n">
        <v>7</v>
      </c>
      <c r="I26" s="8" t="n">
        <v>0</v>
      </c>
      <c r="J26" s="8">
        <f>H26&amp;"-"&amp;I26</f>
        <v/>
      </c>
      <c r="K26" s="8" t="n">
        <v>2</v>
      </c>
      <c r="L26" s="8" t="n">
        <v>0</v>
      </c>
      <c r="M26" s="8">
        <f>K26&amp;"-"&amp;L26</f>
        <v/>
      </c>
      <c r="N26" s="8">
        <f>K26+L26</f>
        <v/>
      </c>
    </row>
    <row r="27">
      <c r="A27" s="8" t="n">
        <v>2018</v>
      </c>
      <c r="B27" s="9" t="inlineStr">
        <is>
          <t>Sweet 16</t>
        </is>
      </c>
      <c r="C27" s="8" t="n">
        <v>4</v>
      </c>
      <c r="D27" s="9" t="inlineStr">
        <is>
          <t>Gonzaga</t>
        </is>
      </c>
      <c r="E27" s="8" t="n">
        <v>9</v>
      </c>
      <c r="F27" s="9" t="inlineStr">
        <is>
          <t>Florida St.</t>
        </is>
      </c>
      <c r="G27" s="8" t="inlineStr">
        <is>
          <t>75–60</t>
        </is>
      </c>
      <c r="H27" s="8" t="n">
        <v>6</v>
      </c>
      <c r="I27" s="8" t="n">
        <v>1</v>
      </c>
      <c r="J27" s="8">
        <f>H27&amp;"-"&amp;I27</f>
        <v/>
      </c>
      <c r="K27" s="8" t="n">
        <v>2</v>
      </c>
      <c r="L27" s="8" t="n">
        <v>1</v>
      </c>
      <c r="M27" s="8">
        <f>K27&amp;"-"&amp;L27</f>
        <v/>
      </c>
      <c r="N27" s="8">
        <f>K27+L27</f>
        <v/>
      </c>
    </row>
    <row r="28">
      <c r="A28" s="8" t="n">
        <v>2018</v>
      </c>
      <c r="B28" s="9" t="inlineStr">
        <is>
          <t>Sweet 16</t>
        </is>
      </c>
      <c r="C28" s="8" t="n">
        <v>5</v>
      </c>
      <c r="D28" s="9" t="inlineStr">
        <is>
          <t>Kentucky</t>
        </is>
      </c>
      <c r="E28" s="8" t="n">
        <v>9</v>
      </c>
      <c r="F28" s="9" t="inlineStr">
        <is>
          <t>Kansas St.</t>
        </is>
      </c>
      <c r="G28" s="8" t="inlineStr">
        <is>
          <t>61–58</t>
        </is>
      </c>
      <c r="H28" s="8" t="n">
        <v>6</v>
      </c>
      <c r="I28" s="8" t="n">
        <v>1</v>
      </c>
      <c r="J28" s="8">
        <f>H28&amp;"-"&amp;I28</f>
        <v/>
      </c>
      <c r="K28" s="8" t="n">
        <v>0</v>
      </c>
      <c r="L28" s="8" t="n">
        <v>1</v>
      </c>
      <c r="M28" s="8">
        <f>K28&amp;"-"&amp;L28</f>
        <v/>
      </c>
      <c r="N28" s="8">
        <f>K28+L28</f>
        <v/>
      </c>
    </row>
    <row r="29">
      <c r="A29" s="8" t="n">
        <v>2018</v>
      </c>
      <c r="B29" s="9" t="inlineStr">
        <is>
          <t>Sweet 16</t>
        </is>
      </c>
      <c r="C29" s="8" t="n">
        <v>7</v>
      </c>
      <c r="D29" s="9" t="inlineStr">
        <is>
          <t>Nevada</t>
        </is>
      </c>
      <c r="E29" s="8" t="n">
        <v>11</v>
      </c>
      <c r="F29" s="9" t="inlineStr">
        <is>
          <t>Loyola Chicago</t>
        </is>
      </c>
      <c r="G29" s="8" t="inlineStr">
        <is>
          <t>69–68</t>
        </is>
      </c>
      <c r="H29" s="8" t="n">
        <v>7</v>
      </c>
      <c r="I29" s="8" t="n">
        <v>0</v>
      </c>
      <c r="J29" s="8">
        <f>H29&amp;"-"&amp;I29</f>
        <v/>
      </c>
      <c r="K29" s="8" t="n">
        <v>0</v>
      </c>
      <c r="L29" s="8" t="n">
        <v>0</v>
      </c>
      <c r="M29" s="8">
        <f>K29&amp;"-"&amp;L29</f>
        <v/>
      </c>
      <c r="N29" s="8">
        <f>K29+L29</f>
        <v/>
      </c>
    </row>
    <row r="30">
      <c r="A30" s="8" t="n">
        <v>2019</v>
      </c>
      <c r="B30" s="9" t="inlineStr">
        <is>
          <t>Sweet 16</t>
        </is>
      </c>
      <c r="C30" s="8" t="n">
        <v>1</v>
      </c>
      <c r="D30" s="9" t="inlineStr">
        <is>
          <t>North Carolina</t>
        </is>
      </c>
      <c r="E30" s="8" t="n">
        <v>5</v>
      </c>
      <c r="F30" s="9" t="inlineStr">
        <is>
          <t>Auburn</t>
        </is>
      </c>
      <c r="G30" s="8" t="inlineStr">
        <is>
          <t>97–80</t>
        </is>
      </c>
      <c r="H30" s="8" t="n">
        <v>6</v>
      </c>
      <c r="I30" s="8" t="n">
        <v>2</v>
      </c>
      <c r="J30" s="8">
        <f>H30&amp;"-"&amp;I30</f>
        <v/>
      </c>
      <c r="K30" s="8" t="n">
        <v>1</v>
      </c>
      <c r="L30" s="8" t="n">
        <v>2</v>
      </c>
      <c r="M30" s="8">
        <f>K30&amp;"-"&amp;L30</f>
        <v/>
      </c>
      <c r="N30" s="8">
        <f>K30+L30</f>
        <v/>
      </c>
    </row>
    <row r="31">
      <c r="A31" s="8" t="n">
        <v>2021</v>
      </c>
      <c r="B31" s="9" t="inlineStr">
        <is>
          <t>Sweet 16</t>
        </is>
      </c>
      <c r="C31" s="8" t="n">
        <v>2</v>
      </c>
      <c r="D31" s="9" t="inlineStr">
        <is>
          <t>Alabama</t>
        </is>
      </c>
      <c r="E31" s="8" t="n">
        <v>11</v>
      </c>
      <c r="F31" s="9" t="inlineStr">
        <is>
          <t>UCLA</t>
        </is>
      </c>
      <c r="G31" s="8" t="inlineStr">
        <is>
          <t>88–78</t>
        </is>
      </c>
      <c r="H31" s="8" t="n">
        <v>1</v>
      </c>
      <c r="I31" s="8" t="n">
        <v>1</v>
      </c>
      <c r="J31" s="8">
        <f>H31&amp;"-"&amp;I31</f>
        <v/>
      </c>
      <c r="K31" s="8" t="n">
        <v>0</v>
      </c>
      <c r="L31" s="8" t="n">
        <v>0</v>
      </c>
      <c r="M31" s="8">
        <f>K31&amp;"-"&amp;L31</f>
        <v/>
      </c>
      <c r="N31" s="8">
        <f>K31+L31</f>
        <v/>
      </c>
    </row>
    <row r="32">
      <c r="A32" s="8" t="n">
        <v>2021</v>
      </c>
      <c r="B32" s="9" t="inlineStr">
        <is>
          <t>Sweet 16</t>
        </is>
      </c>
      <c r="C32" s="8" t="n">
        <v>8</v>
      </c>
      <c r="D32" s="9" t="inlineStr">
        <is>
          <t>Loyola Chicago</t>
        </is>
      </c>
      <c r="E32" s="8" t="n">
        <v>12</v>
      </c>
      <c r="F32" s="9" t="inlineStr">
        <is>
          <t>Oregon St.</t>
        </is>
      </c>
      <c r="G32" s="8" t="inlineStr">
        <is>
          <t>65–58</t>
        </is>
      </c>
      <c r="H32" s="8" t="n">
        <v>0</v>
      </c>
      <c r="I32" s="8" t="n">
        <v>0</v>
      </c>
      <c r="J32" s="8">
        <f>H32&amp;"-"&amp;I32</f>
        <v/>
      </c>
      <c r="K32" s="8" t="n">
        <v>0</v>
      </c>
      <c r="L32" s="8" t="n">
        <v>0</v>
      </c>
      <c r="M32" s="8">
        <f>K32&amp;"-"&amp;L32</f>
        <v/>
      </c>
      <c r="N32" s="8">
        <f>K32+L32</f>
        <v/>
      </c>
    </row>
    <row r="33">
      <c r="A33" s="8" t="n">
        <v>2022</v>
      </c>
      <c r="B33" s="9" t="inlineStr">
        <is>
          <t>Sweet 16</t>
        </is>
      </c>
      <c r="C33" s="8" t="n">
        <v>1</v>
      </c>
      <c r="D33" s="9" t="inlineStr">
        <is>
          <t>Arizona</t>
        </is>
      </c>
      <c r="E33" s="8" t="n">
        <v>5</v>
      </c>
      <c r="F33" s="9" t="inlineStr">
        <is>
          <t>Houston</t>
        </is>
      </c>
      <c r="G33" s="8" t="inlineStr">
        <is>
          <t>72–60</t>
        </is>
      </c>
      <c r="H33" s="8" t="n">
        <v>6</v>
      </c>
      <c r="I33" s="8" t="n">
        <v>0</v>
      </c>
      <c r="J33" s="8">
        <f>H33&amp;"-"&amp;I33</f>
        <v/>
      </c>
      <c r="K33" s="8" t="n">
        <v>1</v>
      </c>
      <c r="L33" s="8" t="n">
        <v>0</v>
      </c>
      <c r="M33" s="8">
        <f>K33&amp;"-"&amp;L33</f>
        <v/>
      </c>
      <c r="N33" s="8">
        <f>K33+L33</f>
        <v/>
      </c>
    </row>
    <row r="34">
      <c r="A34" s="8" t="n">
        <v>2022</v>
      </c>
      <c r="B34" s="9" t="inlineStr">
        <is>
          <t>Sweet 16</t>
        </is>
      </c>
      <c r="C34" s="8" t="n">
        <v>3</v>
      </c>
      <c r="D34" s="9" t="inlineStr">
        <is>
          <t>Purdue</t>
        </is>
      </c>
      <c r="E34" s="8" t="n">
        <v>15</v>
      </c>
      <c r="F34" s="9" t="inlineStr">
        <is>
          <t>Saint Peter's</t>
        </is>
      </c>
      <c r="G34" s="8" t="inlineStr">
        <is>
          <t>67–64</t>
        </is>
      </c>
      <c r="H34" s="8" t="n">
        <v>7</v>
      </c>
      <c r="I34" s="8" t="n">
        <v>0</v>
      </c>
      <c r="J34" s="8">
        <f>H34&amp;"-"&amp;I34</f>
        <v/>
      </c>
      <c r="K34" s="8" t="n">
        <v>2</v>
      </c>
      <c r="L34" s="8" t="n">
        <v>0</v>
      </c>
      <c r="M34" s="8">
        <f>K34&amp;"-"&amp;L34</f>
        <v/>
      </c>
      <c r="N34" s="8">
        <f>K34+L34</f>
        <v/>
      </c>
    </row>
    <row r="35">
      <c r="A35" s="8" t="n">
        <v>2022</v>
      </c>
      <c r="B35" s="9" t="inlineStr">
        <is>
          <t>Sweet 16</t>
        </is>
      </c>
      <c r="C35" s="8" t="n">
        <v>4</v>
      </c>
      <c r="D35" s="9" t="inlineStr">
        <is>
          <t>UCLA</t>
        </is>
      </c>
      <c r="E35" s="8" t="n">
        <v>8</v>
      </c>
      <c r="F35" s="9" t="inlineStr">
        <is>
          <t>North Carolina</t>
        </is>
      </c>
      <c r="G35" s="8" t="inlineStr">
        <is>
          <t>73–66</t>
        </is>
      </c>
      <c r="H35" s="8" t="n">
        <v>6</v>
      </c>
      <c r="I35" s="8" t="n">
        <v>1</v>
      </c>
      <c r="J35" s="8">
        <f>H35&amp;"-"&amp;I35</f>
        <v/>
      </c>
      <c r="K35" s="8" t="n">
        <v>1</v>
      </c>
      <c r="L35" s="8" t="n">
        <v>1</v>
      </c>
      <c r="M35" s="8">
        <f>K35&amp;"-"&amp;L35</f>
        <v/>
      </c>
      <c r="N35" s="8">
        <f>K35+L35</f>
        <v/>
      </c>
    </row>
    <row r="36">
      <c r="A36" s="8" t="n">
        <v>2023</v>
      </c>
      <c r="B36" s="9" t="inlineStr">
        <is>
          <t>Sweet 16</t>
        </is>
      </c>
      <c r="C36" s="8" t="n">
        <v>1</v>
      </c>
      <c r="D36" s="9" t="inlineStr">
        <is>
          <t>Houston</t>
        </is>
      </c>
      <c r="E36" s="8" t="n">
        <v>5</v>
      </c>
      <c r="F36" s="9" t="inlineStr">
        <is>
          <t>Miami (FL)</t>
        </is>
      </c>
      <c r="G36" s="8" t="inlineStr">
        <is>
          <t>89–75</t>
        </is>
      </c>
      <c r="H36" s="8" t="n">
        <v>7</v>
      </c>
      <c r="I36" s="8" t="n">
        <v>0</v>
      </c>
      <c r="J36" s="8">
        <f>H36&amp;"-"&amp;I36</f>
        <v/>
      </c>
      <c r="K36" s="8" t="n">
        <v>0</v>
      </c>
      <c r="L36" s="8" t="n">
        <v>0</v>
      </c>
      <c r="M36" s="8">
        <f>K36&amp;"-"&amp;L36</f>
        <v/>
      </c>
      <c r="N36" s="8">
        <f>K36+L36</f>
        <v/>
      </c>
    </row>
    <row r="37">
      <c r="A37" s="8" t="n">
        <v>2023</v>
      </c>
      <c r="B37" s="9" t="inlineStr">
        <is>
          <t>Sweet 16</t>
        </is>
      </c>
      <c r="C37" s="8" t="n">
        <v>1</v>
      </c>
      <c r="D37" s="9" t="inlineStr">
        <is>
          <t>Alabama</t>
        </is>
      </c>
      <c r="E37" s="8" t="n">
        <v>5</v>
      </c>
      <c r="F37" s="9" t="inlineStr">
        <is>
          <t>San Diego St.</t>
        </is>
      </c>
      <c r="G37" s="8" t="inlineStr">
        <is>
          <t>71–64</t>
        </is>
      </c>
      <c r="H37" s="8" t="n">
        <v>6</v>
      </c>
      <c r="I37" s="8" t="n">
        <v>1</v>
      </c>
      <c r="J37" s="8">
        <f>H37&amp;"-"&amp;I37</f>
        <v/>
      </c>
      <c r="K37" s="8" t="n">
        <v>2</v>
      </c>
      <c r="L37" s="8" t="n">
        <v>1</v>
      </c>
      <c r="M37" s="8">
        <f>K37&amp;"-"&amp;L37</f>
        <v/>
      </c>
      <c r="N37" s="8">
        <f>K37+L37</f>
        <v/>
      </c>
    </row>
    <row r="38">
      <c r="A38" s="8" t="n">
        <v>2023</v>
      </c>
      <c r="B38" s="9" t="inlineStr">
        <is>
          <t>Sweet 16</t>
        </is>
      </c>
      <c r="C38" s="8" t="n">
        <v>4</v>
      </c>
      <c r="D38" s="9" t="inlineStr">
        <is>
          <t>Tennessee</t>
        </is>
      </c>
      <c r="E38" s="8" t="n">
        <v>9</v>
      </c>
      <c r="F38" s="9" t="inlineStr">
        <is>
          <t>Fla. Atlantic</t>
        </is>
      </c>
      <c r="G38" s="8" t="inlineStr">
        <is>
          <t>62–55</t>
        </is>
      </c>
      <c r="H38" s="8" t="n">
        <v>6</v>
      </c>
      <c r="I38" s="8" t="n">
        <v>1</v>
      </c>
      <c r="J38" s="8">
        <f>H38&amp;"-"&amp;I38</f>
        <v/>
      </c>
      <c r="K38" s="8" t="n">
        <v>1</v>
      </c>
      <c r="L38" s="8" t="n">
        <v>0</v>
      </c>
      <c r="M38" s="8">
        <f>K38&amp;"-"&amp;L38</f>
        <v/>
      </c>
      <c r="N38" s="8">
        <f>K38+L38</f>
        <v/>
      </c>
    </row>
    <row r="39">
      <c r="A39" s="8" t="n">
        <v>2024</v>
      </c>
      <c r="B39" s="9" t="inlineStr">
        <is>
          <t>Sweet 16</t>
        </is>
      </c>
      <c r="C39" s="8" t="n">
        <v>2</v>
      </c>
      <c r="D39" s="9" t="inlineStr">
        <is>
          <t>Arizona</t>
        </is>
      </c>
      <c r="E39" s="8" t="n">
        <v>6</v>
      </c>
      <c r="F39" s="9" t="inlineStr">
        <is>
          <t>Clemson</t>
        </is>
      </c>
      <c r="G39" s="8" t="inlineStr">
        <is>
          <t>77–72</t>
        </is>
      </c>
      <c r="H39" s="8" t="n">
        <v>6</v>
      </c>
      <c r="I39" s="8" t="n">
        <v>0</v>
      </c>
      <c r="J39" s="8">
        <f>H39&amp;"-"&amp;I39</f>
        <v/>
      </c>
      <c r="K39" s="8" t="n">
        <v>2</v>
      </c>
      <c r="L39" s="8" t="n">
        <v>0</v>
      </c>
      <c r="M39" s="8">
        <f>K39&amp;"-"&amp;L39</f>
        <v/>
      </c>
      <c r="N39" s="8">
        <f>K39+L39</f>
        <v/>
      </c>
    </row>
    <row r="40">
      <c r="A40" s="8" t="n">
        <v>2024</v>
      </c>
      <c r="B40" s="9" t="inlineStr">
        <is>
          <t>Sweet 16</t>
        </is>
      </c>
      <c r="C40" s="8" t="n">
        <v>2</v>
      </c>
      <c r="D40" s="9" t="inlineStr">
        <is>
          <t>Marquette</t>
        </is>
      </c>
      <c r="E40" s="8" t="n">
        <v>11</v>
      </c>
      <c r="F40" s="9" t="inlineStr">
        <is>
          <t>NC State</t>
        </is>
      </c>
      <c r="G40" s="8" t="inlineStr">
        <is>
          <t>67–58</t>
        </is>
      </c>
      <c r="H40" s="8" t="n">
        <v>6</v>
      </c>
      <c r="I40" s="8" t="n">
        <v>1</v>
      </c>
      <c r="J40" s="8">
        <f>H40&amp;"-"&amp;I40</f>
        <v/>
      </c>
      <c r="K40" s="8" t="n">
        <v>2</v>
      </c>
      <c r="L40" s="8" t="n">
        <v>1</v>
      </c>
      <c r="M40" s="8">
        <f>K40&amp;"-"&amp;L40</f>
        <v/>
      </c>
      <c r="N40" s="8">
        <f>K40+L40</f>
        <v/>
      </c>
    </row>
    <row r="41">
      <c r="A41" s="8" t="n">
        <v>2026</v>
      </c>
      <c r="B41" s="9" t="inlineStr">
        <is>
          <t>Sweet 16</t>
        </is>
      </c>
      <c r="C41" s="8" t="n">
        <v>2</v>
      </c>
      <c r="D41" s="9" t="inlineStr">
        <is>
          <t>Iowa St.</t>
        </is>
      </c>
      <c r="E41" s="8" t="n">
        <v>6</v>
      </c>
      <c r="F41" s="9" t="inlineStr">
        <is>
          <t>Tennessee</t>
        </is>
      </c>
      <c r="G41" s="8" t="inlineStr">
        <is>
          <t>76–62</t>
        </is>
      </c>
      <c r="H41" s="8" t="n">
        <v>7</v>
      </c>
      <c r="I41" s="8" t="n">
        <v>0</v>
      </c>
      <c r="J41" s="8">
        <f>H41&amp;"-"&amp;I41</f>
        <v/>
      </c>
      <c r="K41" s="8" t="n">
        <v>1</v>
      </c>
      <c r="L41" s="8" t="n">
        <v>0</v>
      </c>
      <c r="M41" s="8">
        <f>K41&amp;"-"&amp;L41</f>
        <v/>
      </c>
      <c r="N41" s="8">
        <f>K41+L41</f>
        <v/>
      </c>
    </row>
    <row r="42">
      <c r="A42" s="8" t="n">
        <v>2026</v>
      </c>
      <c r="B42" s="9" t="inlineStr">
        <is>
          <t>Sweet 16</t>
        </is>
      </c>
      <c r="C42" s="8" t="n">
        <v>4</v>
      </c>
      <c r="D42" s="9" t="inlineStr">
        <is>
          <t>Nebraska</t>
        </is>
      </c>
      <c r="E42" s="8" t="n">
        <v>9</v>
      </c>
      <c r="F42" s="9" t="inlineStr">
        <is>
          <t>Iowa</t>
        </is>
      </c>
      <c r="G42" s="8" t="inlineStr">
        <is>
          <t>77–71</t>
        </is>
      </c>
      <c r="H42" s="8" t="n">
        <v>8</v>
      </c>
      <c r="I42" s="8" t="n">
        <v>0</v>
      </c>
      <c r="J42" s="8">
        <f>H42&amp;"-"&amp;I42</f>
        <v/>
      </c>
      <c r="K42" s="8" t="n">
        <v>1</v>
      </c>
      <c r="L42" s="8" t="n">
        <v>0</v>
      </c>
      <c r="M42" s="8">
        <f>K42&amp;"-"&amp;L42</f>
        <v/>
      </c>
      <c r="N42" s="8">
        <f>K42+L42</f>
        <v/>
      </c>
    </row>
    <row r="43">
      <c r="A43" s="8" t="n">
        <v>2010</v>
      </c>
      <c r="B43" s="9" t="inlineStr">
        <is>
          <t>Round of 32</t>
        </is>
      </c>
      <c r="C43" s="8" t="n">
        <v>1</v>
      </c>
      <c r="D43" s="9" t="inlineStr">
        <is>
          <t>Kansas</t>
        </is>
      </c>
      <c r="E43" s="8" t="n">
        <v>9</v>
      </c>
      <c r="F43" s="9" t="inlineStr">
        <is>
          <t>UNI</t>
        </is>
      </c>
      <c r="G43" s="8" t="inlineStr">
        <is>
          <t>69–67</t>
        </is>
      </c>
      <c r="H43" s="8" t="n">
        <v>5</v>
      </c>
      <c r="I43" s="8" t="n">
        <v>0</v>
      </c>
      <c r="J43" s="8">
        <f>H43&amp;"-"&amp;I43</f>
        <v/>
      </c>
      <c r="K43" s="8" t="n">
        <v>0</v>
      </c>
      <c r="L43" s="8" t="n">
        <v>0</v>
      </c>
      <c r="M43" s="8">
        <f>K43&amp;"-"&amp;L43</f>
        <v/>
      </c>
      <c r="N43" s="8">
        <f>K43+L43</f>
        <v/>
      </c>
    </row>
    <row r="44">
      <c r="A44" s="8" t="n">
        <v>2010</v>
      </c>
      <c r="B44" s="9" t="inlineStr">
        <is>
          <t>Round of 32</t>
        </is>
      </c>
      <c r="C44" s="8" t="n">
        <v>2</v>
      </c>
      <c r="D44" s="9" t="inlineStr">
        <is>
          <t>Villanova</t>
        </is>
      </c>
      <c r="E44" s="8" t="n">
        <v>10</v>
      </c>
      <c r="F44" s="9" t="inlineStr">
        <is>
          <t>Saint Mary's (CA)</t>
        </is>
      </c>
      <c r="G44" s="8" t="inlineStr">
        <is>
          <t>75–68</t>
        </is>
      </c>
      <c r="H44" s="8" t="n">
        <v>6</v>
      </c>
      <c r="I44" s="8" t="n">
        <v>0</v>
      </c>
      <c r="J44" s="8">
        <f>H44&amp;"-"&amp;I44</f>
        <v/>
      </c>
      <c r="K44" s="8" t="n">
        <v>1</v>
      </c>
      <c r="L44" s="8" t="n">
        <v>0</v>
      </c>
      <c r="M44" s="8">
        <f>K44&amp;"-"&amp;L44</f>
        <v/>
      </c>
      <c r="N44" s="8">
        <f>K44+L44</f>
        <v/>
      </c>
    </row>
    <row r="45">
      <c r="A45" s="8" t="n">
        <v>2010</v>
      </c>
      <c r="B45" s="9" t="inlineStr">
        <is>
          <t>Round of 32</t>
        </is>
      </c>
      <c r="C45" s="8" t="n">
        <v>3</v>
      </c>
      <c r="D45" s="9" t="inlineStr">
        <is>
          <t>New Mexico</t>
        </is>
      </c>
      <c r="E45" s="8" t="n">
        <v>11</v>
      </c>
      <c r="F45" s="9" t="inlineStr">
        <is>
          <t>Washington</t>
        </is>
      </c>
      <c r="G45" s="8" t="inlineStr">
        <is>
          <t>82–64</t>
        </is>
      </c>
      <c r="H45" s="8" t="n">
        <v>6</v>
      </c>
      <c r="I45" s="8" t="n">
        <v>0</v>
      </c>
      <c r="J45" s="8">
        <f>H45&amp;"-"&amp;I45</f>
        <v/>
      </c>
      <c r="K45" s="8" t="n">
        <v>0</v>
      </c>
      <c r="L45" s="8" t="n">
        <v>0</v>
      </c>
      <c r="M45" s="8">
        <f>K45&amp;"-"&amp;L45</f>
        <v/>
      </c>
      <c r="N45" s="8">
        <f>K45+L45</f>
        <v/>
      </c>
    </row>
    <row r="46">
      <c r="A46" s="8" t="n">
        <v>2010</v>
      </c>
      <c r="B46" s="9" t="inlineStr">
        <is>
          <t>Round of 32</t>
        </is>
      </c>
      <c r="C46" s="8" t="n">
        <v>4</v>
      </c>
      <c r="D46" s="9" t="inlineStr">
        <is>
          <t>Wisconsin</t>
        </is>
      </c>
      <c r="E46" s="8" t="n">
        <v>12</v>
      </c>
      <c r="F46" s="9" t="inlineStr">
        <is>
          <t>Cornell</t>
        </is>
      </c>
      <c r="G46" s="8" t="inlineStr">
        <is>
          <t>87–69</t>
        </is>
      </c>
      <c r="H46" s="8" t="n">
        <v>4</v>
      </c>
      <c r="I46" s="8" t="n">
        <v>1</v>
      </c>
      <c r="J46" s="8">
        <f>H46&amp;"-"&amp;I46</f>
        <v/>
      </c>
      <c r="K46" s="8" t="n">
        <v>1</v>
      </c>
      <c r="L46" s="8" t="n">
        <v>0</v>
      </c>
      <c r="M46" s="8">
        <f>K46&amp;"-"&amp;L46</f>
        <v/>
      </c>
      <c r="N46" s="8">
        <f>K46+L46</f>
        <v/>
      </c>
    </row>
    <row r="47">
      <c r="A47" s="8" t="n">
        <v>2011</v>
      </c>
      <c r="B47" s="9" t="inlineStr">
        <is>
          <t>Round of 32</t>
        </is>
      </c>
      <c r="C47" s="8" t="n">
        <v>1</v>
      </c>
      <c r="D47" s="9" t="inlineStr">
        <is>
          <t>Pittsburgh</t>
        </is>
      </c>
      <c r="E47" s="8" t="n">
        <v>8</v>
      </c>
      <c r="F47" s="9" t="inlineStr">
        <is>
          <t>Butler</t>
        </is>
      </c>
      <c r="G47" s="8" t="inlineStr">
        <is>
          <t>71–70</t>
        </is>
      </c>
      <c r="H47" s="8" t="n">
        <v>7</v>
      </c>
      <c r="I47" s="8" t="n">
        <v>0</v>
      </c>
      <c r="J47" s="8">
        <f>H47&amp;"-"&amp;I47</f>
        <v/>
      </c>
      <c r="K47" s="8" t="n">
        <v>2</v>
      </c>
      <c r="L47" s="8" t="n">
        <v>0</v>
      </c>
      <c r="M47" s="8">
        <f>K47&amp;"-"&amp;L47</f>
        <v/>
      </c>
      <c r="N47" s="8">
        <f>K47+L47</f>
        <v/>
      </c>
    </row>
    <row r="48">
      <c r="A48" s="8" t="n">
        <v>2011</v>
      </c>
      <c r="B48" s="9" t="inlineStr">
        <is>
          <t>Round of 32</t>
        </is>
      </c>
      <c r="C48" s="8" t="n">
        <v>2</v>
      </c>
      <c r="D48" s="9" t="inlineStr">
        <is>
          <t>Notre Dame</t>
        </is>
      </c>
      <c r="E48" s="8" t="n">
        <v>10</v>
      </c>
      <c r="F48" s="9" t="inlineStr">
        <is>
          <t>Florida St.</t>
        </is>
      </c>
      <c r="G48" s="8" t="inlineStr">
        <is>
          <t>71–57</t>
        </is>
      </c>
      <c r="H48" s="8" t="n">
        <v>8</v>
      </c>
      <c r="I48" s="8" t="n">
        <v>0</v>
      </c>
      <c r="J48" s="8">
        <f>H48&amp;"-"&amp;I48</f>
        <v/>
      </c>
      <c r="K48" s="8" t="n">
        <v>1</v>
      </c>
      <c r="L48" s="8" t="n">
        <v>0</v>
      </c>
      <c r="M48" s="8">
        <f>K48&amp;"-"&amp;L48</f>
        <v/>
      </c>
      <c r="N48" s="8">
        <f>K48+L48</f>
        <v/>
      </c>
    </row>
    <row r="49">
      <c r="A49" s="8" t="n">
        <v>2011</v>
      </c>
      <c r="B49" s="9" t="inlineStr">
        <is>
          <t>Round of 32</t>
        </is>
      </c>
      <c r="C49" s="8" t="n">
        <v>3</v>
      </c>
      <c r="D49" s="9" t="inlineStr">
        <is>
          <t>Syracuse</t>
        </is>
      </c>
      <c r="E49" s="8" t="n">
        <v>11</v>
      </c>
      <c r="F49" s="9" t="inlineStr">
        <is>
          <t>Marquette</t>
        </is>
      </c>
      <c r="G49" s="8" t="inlineStr">
        <is>
          <t>66–62</t>
        </is>
      </c>
      <c r="H49" s="8" t="n">
        <v>7</v>
      </c>
      <c r="I49" s="8" t="n">
        <v>0</v>
      </c>
      <c r="J49" s="8">
        <f>H49&amp;"-"&amp;I49</f>
        <v/>
      </c>
      <c r="K49" s="8" t="n">
        <v>1</v>
      </c>
      <c r="L49" s="8" t="n">
        <v>0</v>
      </c>
      <c r="M49" s="8">
        <f>K49&amp;"-"&amp;L49</f>
        <v/>
      </c>
      <c r="N49" s="8">
        <f>K49+L49</f>
        <v/>
      </c>
    </row>
    <row r="50">
      <c r="A50" s="8" t="n">
        <v>2011</v>
      </c>
      <c r="B50" s="9" t="inlineStr">
        <is>
          <t>Round of 32</t>
        </is>
      </c>
      <c r="C50" s="8" t="n">
        <v>3</v>
      </c>
      <c r="D50" s="9" t="inlineStr">
        <is>
          <t>Purdue</t>
        </is>
      </c>
      <c r="E50" s="8" t="n">
        <v>11</v>
      </c>
      <c r="F50" s="9" t="inlineStr">
        <is>
          <t>VCU</t>
        </is>
      </c>
      <c r="G50" s="8" t="inlineStr">
        <is>
          <t>94–76</t>
        </is>
      </c>
      <c r="H50" s="8" t="n">
        <v>5</v>
      </c>
      <c r="I50" s="8" t="n">
        <v>1</v>
      </c>
      <c r="J50" s="8">
        <f>H50&amp;"-"&amp;I50</f>
        <v/>
      </c>
      <c r="K50" s="8" t="n">
        <v>0</v>
      </c>
      <c r="L50" s="8" t="n">
        <v>0</v>
      </c>
      <c r="M50" s="8">
        <f>K50&amp;"-"&amp;L50</f>
        <v/>
      </c>
      <c r="N50" s="8">
        <f>K50+L50</f>
        <v/>
      </c>
    </row>
    <row r="51">
      <c r="A51" s="8" t="n">
        <v>2012</v>
      </c>
      <c r="B51" s="9" t="inlineStr">
        <is>
          <t>Round of 32</t>
        </is>
      </c>
      <c r="C51" s="8" t="n">
        <v>3</v>
      </c>
      <c r="D51" s="9" t="inlineStr">
        <is>
          <t>Georgetown</t>
        </is>
      </c>
      <c r="E51" s="8" t="n">
        <v>11</v>
      </c>
      <c r="F51" s="9" t="inlineStr">
        <is>
          <t>NC State</t>
        </is>
      </c>
      <c r="G51" s="8" t="inlineStr">
        <is>
          <t>66–63</t>
        </is>
      </c>
      <c r="H51" s="8" t="n">
        <v>5</v>
      </c>
      <c r="I51" s="8" t="n">
        <v>1</v>
      </c>
      <c r="J51" s="8">
        <f>H51&amp;"-"&amp;I51</f>
        <v/>
      </c>
      <c r="K51" s="8" t="n">
        <v>1</v>
      </c>
      <c r="L51" s="8" t="n">
        <v>1</v>
      </c>
      <c r="M51" s="8">
        <f>K51&amp;"-"&amp;L51</f>
        <v/>
      </c>
      <c r="N51" s="8">
        <f>K51+L51</f>
        <v/>
      </c>
    </row>
    <row r="52">
      <c r="A52" s="8" t="n">
        <v>2013</v>
      </c>
      <c r="B52" s="9" t="inlineStr">
        <is>
          <t>Round of 32</t>
        </is>
      </c>
      <c r="C52" s="8" t="n">
        <v>1</v>
      </c>
      <c r="D52" s="9" t="inlineStr">
        <is>
          <t>Gonzaga</t>
        </is>
      </c>
      <c r="E52" s="8" t="n">
        <v>9</v>
      </c>
      <c r="F52" s="9" t="inlineStr">
        <is>
          <t>Wichita St.</t>
        </is>
      </c>
      <c r="G52" s="8" t="inlineStr">
        <is>
          <t>76–70</t>
        </is>
      </c>
      <c r="H52" s="8" t="n">
        <v>7</v>
      </c>
      <c r="I52" s="8" t="n">
        <v>0</v>
      </c>
      <c r="J52" s="8">
        <f>H52&amp;"-"&amp;I52</f>
        <v/>
      </c>
      <c r="K52" s="8" t="n">
        <v>0</v>
      </c>
      <c r="L52" s="8" t="n">
        <v>0</v>
      </c>
      <c r="M52" s="8">
        <f>K52&amp;"-"&amp;L52</f>
        <v/>
      </c>
      <c r="N52" s="8">
        <f>K52+L52</f>
        <v/>
      </c>
    </row>
    <row r="53">
      <c r="A53" s="8" t="n">
        <v>2013</v>
      </c>
      <c r="B53" s="9" t="inlineStr">
        <is>
          <t>Round of 32</t>
        </is>
      </c>
      <c r="C53" s="8" t="n">
        <v>4</v>
      </c>
      <c r="D53" s="9" t="inlineStr">
        <is>
          <t>Saint Louis</t>
        </is>
      </c>
      <c r="E53" s="8" t="n">
        <v>12</v>
      </c>
      <c r="F53" s="9" t="inlineStr">
        <is>
          <t>Oregon</t>
        </is>
      </c>
      <c r="G53" s="8" t="inlineStr">
        <is>
          <t>74–57</t>
        </is>
      </c>
      <c r="H53" s="8" t="n">
        <v>3</v>
      </c>
      <c r="I53" s="8" t="n">
        <v>3</v>
      </c>
      <c r="J53" s="8">
        <f>H53&amp;"-"&amp;I53</f>
        <v/>
      </c>
      <c r="K53" s="8" t="n">
        <v>0</v>
      </c>
      <c r="L53" s="8" t="n">
        <v>1</v>
      </c>
      <c r="M53" s="8">
        <f>K53&amp;"-"&amp;L53</f>
        <v/>
      </c>
      <c r="N53" s="8">
        <f>K53+L53</f>
        <v/>
      </c>
    </row>
    <row r="54">
      <c r="A54" s="8" t="n">
        <v>2013</v>
      </c>
      <c r="B54" s="9" t="inlineStr">
        <is>
          <t>Round of 32</t>
        </is>
      </c>
      <c r="C54" s="8" t="n">
        <v>7</v>
      </c>
      <c r="D54" s="9" t="inlineStr">
        <is>
          <t>San Diego St.</t>
        </is>
      </c>
      <c r="E54" s="8" t="n">
        <v>15</v>
      </c>
      <c r="F54" s="9" t="inlineStr">
        <is>
          <t>FGCU</t>
        </is>
      </c>
      <c r="G54" s="8" t="inlineStr">
        <is>
          <t>81–71</t>
        </is>
      </c>
      <c r="H54" s="8" t="n">
        <v>4</v>
      </c>
      <c r="I54" s="8" t="n">
        <v>1</v>
      </c>
      <c r="J54" s="8">
        <f>H54&amp;"-"&amp;I54</f>
        <v/>
      </c>
      <c r="K54" s="8" t="n">
        <v>0</v>
      </c>
      <c r="L54" s="8" t="n">
        <v>1</v>
      </c>
      <c r="M54" s="8">
        <f>K54&amp;"-"&amp;L54</f>
        <v/>
      </c>
      <c r="N54" s="8">
        <f>K54+L54</f>
        <v/>
      </c>
    </row>
    <row r="55">
      <c r="A55" s="8" t="n">
        <v>2014</v>
      </c>
      <c r="B55" s="9" t="inlineStr">
        <is>
          <t>Round of 32</t>
        </is>
      </c>
      <c r="C55" s="8" t="n">
        <v>1</v>
      </c>
      <c r="D55" s="9" t="inlineStr">
        <is>
          <t>Wichita St.</t>
        </is>
      </c>
      <c r="E55" s="8" t="n">
        <v>8</v>
      </c>
      <c r="F55" s="9" t="inlineStr">
        <is>
          <t>Kentucky</t>
        </is>
      </c>
      <c r="G55" s="8" t="inlineStr">
        <is>
          <t>78–76</t>
        </is>
      </c>
      <c r="H55" s="8" t="n">
        <v>7</v>
      </c>
      <c r="I55" s="8" t="n">
        <v>0</v>
      </c>
      <c r="J55" s="8">
        <f>H55&amp;"-"&amp;I55</f>
        <v/>
      </c>
      <c r="K55" s="8" t="n">
        <v>0</v>
      </c>
      <c r="L55" s="8" t="n">
        <v>0</v>
      </c>
      <c r="M55" s="8">
        <f>K55&amp;"-"&amp;L55</f>
        <v/>
      </c>
      <c r="N55" s="8">
        <f>K55+L55</f>
        <v/>
      </c>
    </row>
    <row r="56">
      <c r="A56" s="8" t="n">
        <v>2014</v>
      </c>
      <c r="B56" s="9" t="inlineStr">
        <is>
          <t>Round of 32</t>
        </is>
      </c>
      <c r="C56" s="8" t="n">
        <v>2</v>
      </c>
      <c r="D56" s="9" t="inlineStr">
        <is>
          <t>Villanova</t>
        </is>
      </c>
      <c r="E56" s="8" t="n">
        <v>7</v>
      </c>
      <c r="F56" s="9" t="inlineStr">
        <is>
          <t>UConn</t>
        </is>
      </c>
      <c r="G56" s="8" t="inlineStr">
        <is>
          <t>77–65</t>
        </is>
      </c>
      <c r="H56" s="8" t="n">
        <v>7</v>
      </c>
      <c r="I56" s="8" t="n">
        <v>0</v>
      </c>
      <c r="J56" s="8">
        <f>H56&amp;"-"&amp;I56</f>
        <v/>
      </c>
      <c r="K56" s="8" t="n">
        <v>2</v>
      </c>
      <c r="L56" s="8" t="n">
        <v>0</v>
      </c>
      <c r="M56" s="8">
        <f>K56&amp;"-"&amp;L56</f>
        <v/>
      </c>
      <c r="N56" s="8">
        <f>K56+L56</f>
        <v/>
      </c>
    </row>
    <row r="57">
      <c r="A57" s="8" t="n">
        <v>2014</v>
      </c>
      <c r="B57" s="9" t="inlineStr">
        <is>
          <t>Round of 32</t>
        </is>
      </c>
      <c r="C57" s="8" t="n">
        <v>2</v>
      </c>
      <c r="D57" s="9" t="inlineStr">
        <is>
          <t>Kansas</t>
        </is>
      </c>
      <c r="E57" s="8" t="n">
        <v>10</v>
      </c>
      <c r="F57" s="9" t="inlineStr">
        <is>
          <t>Stanford</t>
        </is>
      </c>
      <c r="G57" s="8" t="inlineStr">
        <is>
          <t>60–57</t>
        </is>
      </c>
      <c r="H57" s="8" t="n">
        <v>6</v>
      </c>
      <c r="I57" s="8" t="n">
        <v>1</v>
      </c>
      <c r="J57" s="8">
        <f>H57&amp;"-"&amp;I57</f>
        <v/>
      </c>
      <c r="K57" s="8" t="n">
        <v>1</v>
      </c>
      <c r="L57" s="8" t="n">
        <v>1</v>
      </c>
      <c r="M57" s="8">
        <f>K57&amp;"-"&amp;L57</f>
        <v/>
      </c>
      <c r="N57" s="8">
        <f>K57+L57</f>
        <v/>
      </c>
    </row>
    <row r="58">
      <c r="A58" s="8" t="n">
        <v>2014</v>
      </c>
      <c r="B58" s="9" t="inlineStr">
        <is>
          <t>Round of 32</t>
        </is>
      </c>
      <c r="C58" s="8" t="n">
        <v>3</v>
      </c>
      <c r="D58" s="9" t="inlineStr">
        <is>
          <t>Syracuse</t>
        </is>
      </c>
      <c r="E58" s="8" t="n">
        <v>11</v>
      </c>
      <c r="F58" s="9" t="inlineStr">
        <is>
          <t>Dayton</t>
        </is>
      </c>
      <c r="G58" s="8" t="inlineStr">
        <is>
          <t>55–53</t>
        </is>
      </c>
      <c r="H58" s="8" t="n">
        <v>7</v>
      </c>
      <c r="I58" s="8" t="n">
        <v>0</v>
      </c>
      <c r="J58" s="8">
        <f>H58&amp;"-"&amp;I58</f>
        <v/>
      </c>
      <c r="K58" s="8" t="n">
        <v>1</v>
      </c>
      <c r="L58" s="8" t="n">
        <v>0</v>
      </c>
      <c r="M58" s="8">
        <f>K58&amp;"-"&amp;L58</f>
        <v/>
      </c>
      <c r="N58" s="8">
        <f>K58+L58</f>
        <v/>
      </c>
    </row>
    <row r="59">
      <c r="A59" s="8" t="n">
        <v>2015</v>
      </c>
      <c r="B59" s="9" t="inlineStr">
        <is>
          <t>Round of 32</t>
        </is>
      </c>
      <c r="C59" s="8" t="n">
        <v>1</v>
      </c>
      <c r="D59" s="9" t="inlineStr">
        <is>
          <t>Villanova</t>
        </is>
      </c>
      <c r="E59" s="8" t="n">
        <v>8</v>
      </c>
      <c r="F59" s="9" t="inlineStr">
        <is>
          <t>NC State</t>
        </is>
      </c>
      <c r="G59" s="8" t="inlineStr">
        <is>
          <t>71–68</t>
        </is>
      </c>
      <c r="H59" s="8" t="n">
        <v>6</v>
      </c>
      <c r="I59" s="8" t="n">
        <v>0</v>
      </c>
      <c r="J59" s="8">
        <f>H59&amp;"-"&amp;I59</f>
        <v/>
      </c>
      <c r="K59" s="8" t="n">
        <v>1</v>
      </c>
      <c r="L59" s="8" t="n">
        <v>0</v>
      </c>
      <c r="M59" s="8">
        <f>K59&amp;"-"&amp;L59</f>
        <v/>
      </c>
      <c r="N59" s="8">
        <f>K59+L59</f>
        <v/>
      </c>
    </row>
    <row r="60">
      <c r="A60" s="8" t="n">
        <v>2015</v>
      </c>
      <c r="B60" s="9" t="inlineStr">
        <is>
          <t>Round of 32</t>
        </is>
      </c>
      <c r="C60" s="8" t="n">
        <v>2</v>
      </c>
      <c r="D60" s="9" t="inlineStr">
        <is>
          <t>Virginia</t>
        </is>
      </c>
      <c r="E60" s="8" t="n">
        <v>7</v>
      </c>
      <c r="F60" s="9" t="inlineStr">
        <is>
          <t>Michigan St.</t>
        </is>
      </c>
      <c r="G60" s="8" t="inlineStr">
        <is>
          <t>60–54</t>
        </is>
      </c>
      <c r="H60" s="8" t="n">
        <v>7</v>
      </c>
      <c r="I60" s="8" t="n">
        <v>0</v>
      </c>
      <c r="J60" s="8">
        <f>H60&amp;"-"&amp;I60</f>
        <v/>
      </c>
      <c r="K60" s="8" t="n">
        <v>0</v>
      </c>
      <c r="L60" s="8" t="n">
        <v>0</v>
      </c>
      <c r="M60" s="8">
        <f>K60&amp;"-"&amp;L60</f>
        <v/>
      </c>
      <c r="N60" s="8">
        <f>K60+L60</f>
        <v/>
      </c>
    </row>
    <row r="61">
      <c r="A61" s="8" t="n">
        <v>2015</v>
      </c>
      <c r="B61" s="9" t="inlineStr">
        <is>
          <t>Round of 32</t>
        </is>
      </c>
      <c r="C61" s="8" t="n">
        <v>2</v>
      </c>
      <c r="D61" s="9" t="inlineStr">
        <is>
          <t>Kansas</t>
        </is>
      </c>
      <c r="E61" s="8" t="n">
        <v>7</v>
      </c>
      <c r="F61" s="9" t="inlineStr">
        <is>
          <t>Wichita St.</t>
        </is>
      </c>
      <c r="G61" s="8" t="inlineStr">
        <is>
          <t>78–65</t>
        </is>
      </c>
      <c r="H61" s="8" t="n">
        <v>5</v>
      </c>
      <c r="I61" s="8" t="n">
        <v>1</v>
      </c>
      <c r="J61" s="8">
        <f>H61&amp;"-"&amp;I61</f>
        <v/>
      </c>
      <c r="K61" s="8" t="n">
        <v>1</v>
      </c>
      <c r="L61" s="8" t="n">
        <v>1</v>
      </c>
      <c r="M61" s="8">
        <f>K61&amp;"-"&amp;L61</f>
        <v/>
      </c>
      <c r="N61" s="8">
        <f>K61+L61</f>
        <v/>
      </c>
    </row>
    <row r="62">
      <c r="A62" s="8" t="n">
        <v>2016</v>
      </c>
      <c r="B62" s="9" t="inlineStr">
        <is>
          <t>Round of 32</t>
        </is>
      </c>
      <c r="C62" s="8" t="n">
        <v>2</v>
      </c>
      <c r="D62" s="9" t="inlineStr">
        <is>
          <t>Xavier</t>
        </is>
      </c>
      <c r="E62" s="8" t="n">
        <v>7</v>
      </c>
      <c r="F62" s="9" t="inlineStr">
        <is>
          <t>Wisconsin</t>
        </is>
      </c>
      <c r="G62" s="8" t="inlineStr">
        <is>
          <t>66–63</t>
        </is>
      </c>
      <c r="H62" s="8" t="n">
        <v>7</v>
      </c>
      <c r="I62" s="8" t="n">
        <v>0</v>
      </c>
      <c r="J62" s="8">
        <f>H62&amp;"-"&amp;I62</f>
        <v/>
      </c>
      <c r="K62" s="8" t="n">
        <v>1</v>
      </c>
      <c r="L62" s="8" t="n">
        <v>0</v>
      </c>
      <c r="M62" s="8">
        <f>K62&amp;"-"&amp;L62</f>
        <v/>
      </c>
      <c r="N62" s="8">
        <f>K62+L62</f>
        <v/>
      </c>
    </row>
    <row r="63">
      <c r="A63" s="8" t="n">
        <v>2016</v>
      </c>
      <c r="B63" s="9" t="inlineStr">
        <is>
          <t>Round of 32</t>
        </is>
      </c>
      <c r="C63" s="8" t="n">
        <v>3</v>
      </c>
      <c r="D63" s="9" t="inlineStr">
        <is>
          <t>Utah</t>
        </is>
      </c>
      <c r="E63" s="8" t="n">
        <v>11</v>
      </c>
      <c r="F63" s="9" t="inlineStr">
        <is>
          <t>Gonzaga</t>
        </is>
      </c>
      <c r="G63" s="8" t="inlineStr">
        <is>
          <t>82–59</t>
        </is>
      </c>
      <c r="H63" s="8" t="n">
        <v>5</v>
      </c>
      <c r="I63" s="8" t="n">
        <v>1</v>
      </c>
      <c r="J63" s="8">
        <f>H63&amp;"-"&amp;I63</f>
        <v/>
      </c>
      <c r="K63" s="8" t="n">
        <v>0</v>
      </c>
      <c r="L63" s="8" t="n">
        <v>1</v>
      </c>
      <c r="M63" s="8">
        <f>K63&amp;"-"&amp;L63</f>
        <v/>
      </c>
      <c r="N63" s="8">
        <f>K63+L63</f>
        <v/>
      </c>
    </row>
    <row r="64">
      <c r="A64" s="8" t="n">
        <v>2017</v>
      </c>
      <c r="B64" s="9" t="inlineStr">
        <is>
          <t>Round of 32</t>
        </is>
      </c>
      <c r="C64" s="8" t="n">
        <v>1</v>
      </c>
      <c r="D64" s="9" t="inlineStr">
        <is>
          <t>Villanova</t>
        </is>
      </c>
      <c r="E64" s="8" t="n">
        <v>8</v>
      </c>
      <c r="F64" s="9" t="inlineStr">
        <is>
          <t>Wisconsin</t>
        </is>
      </c>
      <c r="G64" s="8" t="inlineStr">
        <is>
          <t>65–62</t>
        </is>
      </c>
      <c r="H64" s="8" t="n">
        <v>7</v>
      </c>
      <c r="I64" s="8" t="n">
        <v>0</v>
      </c>
      <c r="J64" s="8">
        <f>H64&amp;"-"&amp;I64</f>
        <v/>
      </c>
      <c r="K64" s="8" t="n">
        <v>2</v>
      </c>
      <c r="L64" s="8" t="n">
        <v>0</v>
      </c>
      <c r="M64" s="8">
        <f>K64&amp;"-"&amp;L64</f>
        <v/>
      </c>
      <c r="N64" s="8">
        <f>K64+L64</f>
        <v/>
      </c>
    </row>
    <row r="65">
      <c r="A65" s="8" t="n">
        <v>2017</v>
      </c>
      <c r="B65" s="9" t="inlineStr">
        <is>
          <t>Round of 32</t>
        </is>
      </c>
      <c r="C65" s="8" t="n">
        <v>2</v>
      </c>
      <c r="D65" s="9" t="inlineStr">
        <is>
          <t>Louisville</t>
        </is>
      </c>
      <c r="E65" s="8" t="n">
        <v>7</v>
      </c>
      <c r="F65" s="9" t="inlineStr">
        <is>
          <t>Michigan</t>
        </is>
      </c>
      <c r="G65" s="8" t="inlineStr">
        <is>
          <t>73–69</t>
        </is>
      </c>
      <c r="H65" s="8" t="n">
        <v>6</v>
      </c>
      <c r="I65" s="8" t="n">
        <v>1</v>
      </c>
      <c r="J65" s="8">
        <f>H65&amp;"-"&amp;I65</f>
        <v/>
      </c>
      <c r="K65" s="8" t="n">
        <v>2</v>
      </c>
      <c r="L65" s="8" t="n">
        <v>1</v>
      </c>
      <c r="M65" s="8">
        <f>K65&amp;"-"&amp;L65</f>
        <v/>
      </c>
      <c r="N65" s="8">
        <f>K65+L65</f>
        <v/>
      </c>
    </row>
    <row r="66">
      <c r="A66" s="8" t="n">
        <v>2017</v>
      </c>
      <c r="B66" s="9" t="inlineStr">
        <is>
          <t>Round of 32</t>
        </is>
      </c>
      <c r="C66" s="8" t="n">
        <v>2</v>
      </c>
      <c r="D66" s="9" t="inlineStr">
        <is>
          <t>Duke</t>
        </is>
      </c>
      <c r="E66" s="8" t="n">
        <v>7</v>
      </c>
      <c r="F66" s="9" t="inlineStr">
        <is>
          <t>South Carolina</t>
        </is>
      </c>
      <c r="G66" s="8" t="inlineStr">
        <is>
          <t>88–81</t>
        </is>
      </c>
      <c r="H66" s="8" t="n">
        <v>7</v>
      </c>
      <c r="I66" s="8" t="n">
        <v>1</v>
      </c>
      <c r="J66" s="8">
        <f>H66&amp;"-"&amp;I66</f>
        <v/>
      </c>
      <c r="K66" s="8" t="n">
        <v>0</v>
      </c>
      <c r="L66" s="8" t="n">
        <v>1</v>
      </c>
      <c r="M66" s="8">
        <f>K66&amp;"-"&amp;L66</f>
        <v/>
      </c>
      <c r="N66" s="8">
        <f>K66+L66</f>
        <v/>
      </c>
    </row>
    <row r="67">
      <c r="A67" s="8" t="n">
        <v>2017</v>
      </c>
      <c r="B67" s="9" t="inlineStr">
        <is>
          <t>Round of 32</t>
        </is>
      </c>
      <c r="C67" s="8" t="n">
        <v>3</v>
      </c>
      <c r="D67" s="9" t="inlineStr">
        <is>
          <t>Florida St.</t>
        </is>
      </c>
      <c r="E67" s="8" t="n">
        <v>11</v>
      </c>
      <c r="F67" s="9" t="inlineStr">
        <is>
          <t>Xavier</t>
        </is>
      </c>
      <c r="G67" s="8" t="inlineStr">
        <is>
          <t>91–66</t>
        </is>
      </c>
      <c r="H67" s="8" t="n">
        <v>6</v>
      </c>
      <c r="I67" s="8" t="n">
        <v>1</v>
      </c>
      <c r="J67" s="8">
        <f>H67&amp;"-"&amp;I67</f>
        <v/>
      </c>
      <c r="K67" s="8" t="n">
        <v>1</v>
      </c>
      <c r="L67" s="8" t="n">
        <v>0</v>
      </c>
      <c r="M67" s="8">
        <f>K67&amp;"-"&amp;L67</f>
        <v/>
      </c>
      <c r="N67" s="8">
        <f>K67+L67</f>
        <v/>
      </c>
    </row>
    <row r="68">
      <c r="A68" s="8" t="n">
        <v>2018</v>
      </c>
      <c r="B68" s="9" t="inlineStr">
        <is>
          <t>Round of 32</t>
        </is>
      </c>
      <c r="C68" s="8" t="n">
        <v>1</v>
      </c>
      <c r="D68" s="9" t="inlineStr">
        <is>
          <t>Xavier</t>
        </is>
      </c>
      <c r="E68" s="8" t="n">
        <v>9</v>
      </c>
      <c r="F68" s="9" t="inlineStr">
        <is>
          <t>Florida St.</t>
        </is>
      </c>
      <c r="G68" s="8" t="inlineStr">
        <is>
          <t>75–70</t>
        </is>
      </c>
      <c r="H68" s="8" t="n">
        <v>6</v>
      </c>
      <c r="I68" s="8" t="n">
        <v>1</v>
      </c>
      <c r="J68" s="8">
        <f>H68&amp;"-"&amp;I68</f>
        <v/>
      </c>
      <c r="K68" s="8" t="n">
        <v>1</v>
      </c>
      <c r="L68" s="8" t="n">
        <v>1</v>
      </c>
      <c r="M68" s="8">
        <f>K68&amp;"-"&amp;L68</f>
        <v/>
      </c>
      <c r="N68" s="8">
        <f>K68+L68</f>
        <v/>
      </c>
    </row>
    <row r="69">
      <c r="A69" s="8" t="n">
        <v>2018</v>
      </c>
      <c r="B69" s="9" t="inlineStr">
        <is>
          <t>Round of 32</t>
        </is>
      </c>
      <c r="C69" s="8" t="n">
        <v>2</v>
      </c>
      <c r="D69" s="9" t="inlineStr">
        <is>
          <t>Cincinnati</t>
        </is>
      </c>
      <c r="E69" s="8" t="n">
        <v>7</v>
      </c>
      <c r="F69" s="9" t="inlineStr">
        <is>
          <t>Nevada</t>
        </is>
      </c>
      <c r="G69" s="8" t="inlineStr">
        <is>
          <t>75–73</t>
        </is>
      </c>
      <c r="H69" s="8" t="n">
        <v>7</v>
      </c>
      <c r="I69" s="8" t="n">
        <v>0</v>
      </c>
      <c r="J69" s="8">
        <f>H69&amp;"-"&amp;I69</f>
        <v/>
      </c>
      <c r="K69" s="8" t="n">
        <v>0</v>
      </c>
      <c r="L69" s="8" t="n">
        <v>0</v>
      </c>
      <c r="M69" s="8">
        <f>K69&amp;"-"&amp;L69</f>
        <v/>
      </c>
      <c r="N69" s="8">
        <f>K69+L69</f>
        <v/>
      </c>
    </row>
    <row r="70">
      <c r="A70" s="8" t="n">
        <v>2018</v>
      </c>
      <c r="B70" s="9" t="inlineStr">
        <is>
          <t>Round of 32</t>
        </is>
      </c>
      <c r="C70" s="8" t="n">
        <v>2</v>
      </c>
      <c r="D70" s="9" t="inlineStr">
        <is>
          <t>North Carolina</t>
        </is>
      </c>
      <c r="E70" s="8" t="n">
        <v>7</v>
      </c>
      <c r="F70" s="9" t="inlineStr">
        <is>
          <t>Texas A&amp;M</t>
        </is>
      </c>
      <c r="G70" s="8" t="inlineStr">
        <is>
          <t>86–65</t>
        </is>
      </c>
      <c r="H70" s="8" t="n">
        <v>6</v>
      </c>
      <c r="I70" s="8" t="n">
        <v>1</v>
      </c>
      <c r="J70" s="8">
        <f>H70&amp;"-"&amp;I70</f>
        <v/>
      </c>
      <c r="K70" s="8" t="n">
        <v>2</v>
      </c>
      <c r="L70" s="8" t="n">
        <v>1</v>
      </c>
      <c r="M70" s="8">
        <f>K70&amp;"-"&amp;L70</f>
        <v/>
      </c>
      <c r="N70" s="8">
        <f>K70+L70</f>
        <v/>
      </c>
    </row>
    <row r="71">
      <c r="A71" s="8" t="n">
        <v>2018</v>
      </c>
      <c r="B71" s="9" t="inlineStr">
        <is>
          <t>Round of 32</t>
        </is>
      </c>
      <c r="C71" s="8" t="n">
        <v>3</v>
      </c>
      <c r="D71" s="9" t="inlineStr">
        <is>
          <t>Tennessee</t>
        </is>
      </c>
      <c r="E71" s="8" t="n">
        <v>11</v>
      </c>
      <c r="F71" s="9" t="inlineStr">
        <is>
          <t>Loyola Chicago</t>
        </is>
      </c>
      <c r="G71" s="8" t="inlineStr">
        <is>
          <t>63–62</t>
        </is>
      </c>
      <c r="H71" s="8" t="n">
        <v>5</v>
      </c>
      <c r="I71" s="8" t="n">
        <v>1</v>
      </c>
      <c r="J71" s="8">
        <f>H71&amp;"-"&amp;I71</f>
        <v/>
      </c>
      <c r="K71" s="8" t="n">
        <v>2</v>
      </c>
      <c r="L71" s="8" t="n">
        <v>1</v>
      </c>
      <c r="M71" s="8">
        <f>K71&amp;"-"&amp;L71</f>
        <v/>
      </c>
      <c r="N71" s="8">
        <f>K71+L71</f>
        <v/>
      </c>
    </row>
    <row r="72">
      <c r="A72" s="8" t="n">
        <v>2018</v>
      </c>
      <c r="B72" s="9" t="inlineStr">
        <is>
          <t>Round of 32</t>
        </is>
      </c>
      <c r="C72" s="8" t="n">
        <v>3</v>
      </c>
      <c r="D72" s="9" t="inlineStr">
        <is>
          <t>Michigan St.</t>
        </is>
      </c>
      <c r="E72" s="8" t="n">
        <v>11</v>
      </c>
      <c r="F72" s="9" t="inlineStr">
        <is>
          <t>Syracuse</t>
        </is>
      </c>
      <c r="G72" s="8" t="inlineStr">
        <is>
          <t>55–53</t>
        </is>
      </c>
      <c r="H72" s="8" t="n">
        <v>6</v>
      </c>
      <c r="I72" s="8" t="n">
        <v>1</v>
      </c>
      <c r="J72" s="8">
        <f>H72&amp;"-"&amp;I72</f>
        <v/>
      </c>
      <c r="K72" s="8" t="n">
        <v>2</v>
      </c>
      <c r="L72" s="8" t="n">
        <v>1</v>
      </c>
      <c r="M72" s="8">
        <f>K72&amp;"-"&amp;L72</f>
        <v/>
      </c>
      <c r="N72" s="8">
        <f>K72+L72</f>
        <v/>
      </c>
    </row>
    <row r="73">
      <c r="A73" s="8" t="n">
        <v>2021</v>
      </c>
      <c r="B73" s="9" t="inlineStr">
        <is>
          <t>Round of 32</t>
        </is>
      </c>
      <c r="C73" s="8" t="n">
        <v>1</v>
      </c>
      <c r="D73" s="9" t="inlineStr">
        <is>
          <t>Illinois</t>
        </is>
      </c>
      <c r="E73" s="8" t="n">
        <v>8</v>
      </c>
      <c r="F73" s="9" t="inlineStr">
        <is>
          <t>Loyola Chicago</t>
        </is>
      </c>
      <c r="G73" s="8" t="inlineStr">
        <is>
          <t>71–58</t>
        </is>
      </c>
      <c r="H73" s="8" t="n">
        <v>3</v>
      </c>
      <c r="I73" s="8" t="n">
        <v>0</v>
      </c>
      <c r="J73" s="8">
        <f>H73&amp;"-"&amp;I73</f>
        <v/>
      </c>
      <c r="K73" s="8" t="n">
        <v>0</v>
      </c>
      <c r="L73" s="8" t="n">
        <v>0</v>
      </c>
      <c r="M73" s="8">
        <f>K73&amp;"-"&amp;L73</f>
        <v/>
      </c>
      <c r="N73" s="8">
        <f>K73+L73</f>
        <v/>
      </c>
    </row>
    <row r="74">
      <c r="A74" s="8" t="n">
        <v>2021</v>
      </c>
      <c r="B74" s="9" t="inlineStr">
        <is>
          <t>Round of 32</t>
        </is>
      </c>
      <c r="C74" s="8" t="n">
        <v>2</v>
      </c>
      <c r="D74" s="9" t="inlineStr">
        <is>
          <t>Iowa</t>
        </is>
      </c>
      <c r="E74" s="8" t="n">
        <v>7</v>
      </c>
      <c r="F74" s="9" t="inlineStr">
        <is>
          <t>Oregon</t>
        </is>
      </c>
      <c r="G74" s="8" t="inlineStr">
        <is>
          <t>95–80</t>
        </is>
      </c>
      <c r="H74" s="8" t="n">
        <v>2</v>
      </c>
      <c r="I74" s="8" t="n">
        <v>0</v>
      </c>
      <c r="J74" s="8">
        <f>H74&amp;"-"&amp;I74</f>
        <v/>
      </c>
      <c r="K74" s="8" t="n">
        <v>0</v>
      </c>
      <c r="L74" s="8" t="n">
        <v>0</v>
      </c>
      <c r="M74" s="8">
        <f>K74&amp;"-"&amp;L74</f>
        <v/>
      </c>
      <c r="N74" s="8">
        <f>K74+L74</f>
        <v/>
      </c>
    </row>
    <row r="75">
      <c r="A75" s="8" t="n">
        <v>2021</v>
      </c>
      <c r="B75" s="9" t="inlineStr">
        <is>
          <t>Round of 32</t>
        </is>
      </c>
      <c r="C75" s="8" t="n">
        <v>3</v>
      </c>
      <c r="D75" s="9" t="inlineStr">
        <is>
          <t>West Virginia</t>
        </is>
      </c>
      <c r="E75" s="8" t="n">
        <v>11</v>
      </c>
      <c r="F75" s="9" t="inlineStr">
        <is>
          <t>Syracuse</t>
        </is>
      </c>
      <c r="G75" s="8" t="inlineStr">
        <is>
          <t>75–72</t>
        </is>
      </c>
      <c r="H75" s="8" t="n">
        <v>3</v>
      </c>
      <c r="I75" s="8" t="n">
        <v>0</v>
      </c>
      <c r="J75" s="8">
        <f>H75&amp;"-"&amp;I75</f>
        <v/>
      </c>
      <c r="K75" s="8" t="n">
        <v>0</v>
      </c>
      <c r="L75" s="8" t="n">
        <v>0</v>
      </c>
      <c r="M75" s="8">
        <f>K75&amp;"-"&amp;L75</f>
        <v/>
      </c>
      <c r="N75" s="8">
        <f>K75+L75</f>
        <v/>
      </c>
    </row>
    <row r="76">
      <c r="A76" s="8" t="n">
        <v>2021</v>
      </c>
      <c r="B76" s="9" t="inlineStr">
        <is>
          <t>Round of 32</t>
        </is>
      </c>
      <c r="C76" s="8" t="n">
        <v>4</v>
      </c>
      <c r="D76" s="9" t="inlineStr">
        <is>
          <t>Oklahoma St.</t>
        </is>
      </c>
      <c r="E76" s="8" t="n">
        <v>12</v>
      </c>
      <c r="F76" s="9" t="inlineStr">
        <is>
          <t>Oregon St.</t>
        </is>
      </c>
      <c r="G76" s="8" t="inlineStr">
        <is>
          <t>80–70</t>
        </is>
      </c>
      <c r="H76" s="8" t="n">
        <v>2</v>
      </c>
      <c r="I76" s="8" t="n">
        <v>0</v>
      </c>
      <c r="J76" s="8">
        <f>H76&amp;"-"&amp;I76</f>
        <v/>
      </c>
      <c r="K76" s="8" t="n">
        <v>0</v>
      </c>
      <c r="L76" s="8" t="n">
        <v>0</v>
      </c>
      <c r="M76" s="8">
        <f>K76&amp;"-"&amp;L76</f>
        <v/>
      </c>
      <c r="N76" s="8">
        <f>K76+L76</f>
        <v/>
      </c>
    </row>
    <row r="77">
      <c r="A77" s="8" t="n">
        <v>2021</v>
      </c>
      <c r="B77" s="9" t="inlineStr">
        <is>
          <t>Round of 32</t>
        </is>
      </c>
      <c r="C77" s="8" t="n">
        <v>7</v>
      </c>
      <c r="D77" s="9" t="inlineStr">
        <is>
          <t>Florida</t>
        </is>
      </c>
      <c r="E77" s="8" t="n">
        <v>15</v>
      </c>
      <c r="F77" s="9" t="inlineStr">
        <is>
          <t>Oral Roberts</t>
        </is>
      </c>
      <c r="G77" s="8" t="inlineStr">
        <is>
          <t>81–78</t>
        </is>
      </c>
      <c r="H77" s="8" t="n">
        <v>0</v>
      </c>
      <c r="I77" s="8" t="n">
        <v>0</v>
      </c>
      <c r="J77" s="8">
        <f>H77&amp;"-"&amp;I77</f>
        <v/>
      </c>
      <c r="K77" s="8" t="n">
        <v>0</v>
      </c>
      <c r="L77" s="8" t="n">
        <v>0</v>
      </c>
      <c r="M77" s="8">
        <f>K77&amp;"-"&amp;L77</f>
        <v/>
      </c>
      <c r="N77" s="8">
        <f>K77+L77</f>
        <v/>
      </c>
    </row>
    <row r="78">
      <c r="A78" s="8" t="n">
        <v>2022</v>
      </c>
      <c r="B78" s="9" t="inlineStr">
        <is>
          <t>Round of 32</t>
        </is>
      </c>
      <c r="C78" s="8" t="n">
        <v>1</v>
      </c>
      <c r="D78" s="9" t="inlineStr">
        <is>
          <t>Baylor</t>
        </is>
      </c>
      <c r="E78" s="8" t="n">
        <v>8</v>
      </c>
      <c r="F78" s="9" t="inlineStr">
        <is>
          <t>North Carolina</t>
        </is>
      </c>
      <c r="G78" s="8" t="inlineStr">
        <is>
          <t>93–86</t>
        </is>
      </c>
      <c r="H78" s="8" t="n">
        <v>7</v>
      </c>
      <c r="I78" s="8" t="n">
        <v>0</v>
      </c>
      <c r="J78" s="8">
        <f>H78&amp;"-"&amp;I78</f>
        <v/>
      </c>
      <c r="K78" s="8" t="n">
        <v>1</v>
      </c>
      <c r="L78" s="8" t="n">
        <v>0</v>
      </c>
      <c r="M78" s="8">
        <f>K78&amp;"-"&amp;L78</f>
        <v/>
      </c>
      <c r="N78" s="8">
        <f>K78+L78</f>
        <v/>
      </c>
    </row>
    <row r="79">
      <c r="A79" s="8" t="n">
        <v>2022</v>
      </c>
      <c r="B79" s="9" t="inlineStr">
        <is>
          <t>Round of 32</t>
        </is>
      </c>
      <c r="C79" s="8" t="n">
        <v>2</v>
      </c>
      <c r="D79" s="9" t="inlineStr">
        <is>
          <t>Auburn</t>
        </is>
      </c>
      <c r="E79" s="8" t="n">
        <v>10</v>
      </c>
      <c r="F79" s="9" t="inlineStr">
        <is>
          <t>Miami (FL)</t>
        </is>
      </c>
      <c r="G79" s="8" t="inlineStr">
        <is>
          <t>79–61</t>
        </is>
      </c>
      <c r="H79" s="8" t="n">
        <v>5</v>
      </c>
      <c r="I79" s="8" t="n">
        <v>1</v>
      </c>
      <c r="J79" s="8">
        <f>H79&amp;"-"&amp;I79</f>
        <v/>
      </c>
      <c r="K79" s="8" t="n">
        <v>1</v>
      </c>
      <c r="L79" s="8" t="n">
        <v>1</v>
      </c>
      <c r="M79" s="8">
        <f>K79&amp;"-"&amp;L79</f>
        <v/>
      </c>
      <c r="N79" s="8">
        <f>K79+L79</f>
        <v/>
      </c>
    </row>
    <row r="80">
      <c r="A80" s="8" t="n">
        <v>2022</v>
      </c>
      <c r="B80" s="9" t="inlineStr">
        <is>
          <t>Round of 32</t>
        </is>
      </c>
      <c r="C80" s="8" t="n">
        <v>3</v>
      </c>
      <c r="D80" s="9" t="inlineStr">
        <is>
          <t>Tennessee</t>
        </is>
      </c>
      <c r="E80" s="8" t="n">
        <v>11</v>
      </c>
      <c r="F80" s="9" t="inlineStr">
        <is>
          <t>Michigan</t>
        </is>
      </c>
      <c r="G80" s="8" t="inlineStr">
        <is>
          <t>76–68</t>
        </is>
      </c>
      <c r="H80" s="8" t="n">
        <v>5</v>
      </c>
      <c r="I80" s="8" t="n">
        <v>1</v>
      </c>
      <c r="J80" s="8">
        <f>H80&amp;"-"&amp;I80</f>
        <v/>
      </c>
      <c r="K80" s="8" t="n">
        <v>1</v>
      </c>
      <c r="L80" s="8" t="n">
        <v>1</v>
      </c>
      <c r="M80" s="8">
        <f>K80&amp;"-"&amp;L80</f>
        <v/>
      </c>
      <c r="N80" s="8">
        <f>K80+L80</f>
        <v/>
      </c>
    </row>
    <row r="81">
      <c r="A81" s="8" t="n">
        <v>2022</v>
      </c>
      <c r="B81" s="9" t="inlineStr">
        <is>
          <t>Round of 32</t>
        </is>
      </c>
      <c r="C81" s="8" t="n">
        <v>3</v>
      </c>
      <c r="D81" s="9" t="inlineStr">
        <is>
          <t>Wisconsin</t>
        </is>
      </c>
      <c r="E81" s="8" t="n">
        <v>11</v>
      </c>
      <c r="F81" s="9" t="inlineStr">
        <is>
          <t>Iowa St.</t>
        </is>
      </c>
      <c r="G81" s="8" t="inlineStr">
        <is>
          <t>54–49</t>
        </is>
      </c>
      <c r="H81" s="8" t="n">
        <v>5</v>
      </c>
      <c r="I81" s="8" t="n">
        <v>1</v>
      </c>
      <c r="J81" s="8">
        <f>H81&amp;"-"&amp;I81</f>
        <v/>
      </c>
      <c r="K81" s="8" t="n">
        <v>3</v>
      </c>
      <c r="L81" s="8" t="n">
        <v>0</v>
      </c>
      <c r="M81" s="8">
        <f>K81&amp;"-"&amp;L81</f>
        <v/>
      </c>
      <c r="N81" s="8">
        <f>K81+L81</f>
        <v/>
      </c>
    </row>
    <row r="82">
      <c r="A82" s="8" t="n">
        <v>2022</v>
      </c>
      <c r="B82" s="9" t="inlineStr">
        <is>
          <t>Round of 32</t>
        </is>
      </c>
      <c r="C82" s="8" t="n">
        <v>7</v>
      </c>
      <c r="D82" s="9" t="inlineStr">
        <is>
          <t>Murray St.</t>
        </is>
      </c>
      <c r="E82" s="8" t="n">
        <v>15</v>
      </c>
      <c r="F82" s="9" t="inlineStr">
        <is>
          <t>Saint Peter's</t>
        </is>
      </c>
      <c r="G82" s="8" t="inlineStr">
        <is>
          <t>70–60</t>
        </is>
      </c>
      <c r="H82" s="8" t="n">
        <v>6</v>
      </c>
      <c r="I82" s="8" t="n">
        <v>1</v>
      </c>
      <c r="J82" s="8">
        <f>H82&amp;"-"&amp;I82</f>
        <v/>
      </c>
      <c r="K82" s="8" t="n">
        <v>0</v>
      </c>
      <c r="L82" s="8" t="n">
        <v>0</v>
      </c>
      <c r="M82" s="8">
        <f>K82&amp;"-"&amp;L82</f>
        <v/>
      </c>
      <c r="N82" s="8">
        <f>K82+L82</f>
        <v/>
      </c>
    </row>
    <row r="83">
      <c r="A83" s="8" t="n">
        <v>2023</v>
      </c>
      <c r="B83" s="9" t="inlineStr">
        <is>
          <t>Round of 32</t>
        </is>
      </c>
      <c r="C83" s="8" t="n">
        <v>1</v>
      </c>
      <c r="D83" s="9" t="inlineStr">
        <is>
          <t>Kansas</t>
        </is>
      </c>
      <c r="E83" s="8" t="n">
        <v>8</v>
      </c>
      <c r="F83" s="9" t="inlineStr">
        <is>
          <t>Arkansas</t>
        </is>
      </c>
      <c r="G83" s="8" t="inlineStr">
        <is>
          <t>72–71</t>
        </is>
      </c>
      <c r="H83" s="8" t="n">
        <v>7</v>
      </c>
      <c r="I83" s="8" t="n">
        <v>1</v>
      </c>
      <c r="J83" s="8">
        <f>H83&amp;"-"&amp;I83</f>
        <v/>
      </c>
      <c r="K83" s="8" t="n">
        <v>1</v>
      </c>
      <c r="L83" s="8" t="n">
        <v>1</v>
      </c>
      <c r="M83" s="8">
        <f>K83&amp;"-"&amp;L83</f>
        <v/>
      </c>
      <c r="N83" s="8">
        <f>K83+L83</f>
        <v/>
      </c>
    </row>
    <row r="84">
      <c r="A84" s="8" t="n">
        <v>2023</v>
      </c>
      <c r="B84" s="9" t="inlineStr">
        <is>
          <t>Round of 32</t>
        </is>
      </c>
      <c r="C84" s="8" t="n">
        <v>2</v>
      </c>
      <c r="D84" s="9" t="inlineStr">
        <is>
          <t>Marquette</t>
        </is>
      </c>
      <c r="E84" s="8" t="n">
        <v>7</v>
      </c>
      <c r="F84" s="9" t="inlineStr">
        <is>
          <t>Michigan St.</t>
        </is>
      </c>
      <c r="G84" s="8" t="inlineStr">
        <is>
          <t>69–60</t>
        </is>
      </c>
      <c r="H84" s="8" t="n">
        <v>6</v>
      </c>
      <c r="I84" s="8" t="n">
        <v>2</v>
      </c>
      <c r="J84" s="8">
        <f>H84&amp;"-"&amp;I84</f>
        <v/>
      </c>
      <c r="K84" s="8" t="n">
        <v>1</v>
      </c>
      <c r="L84" s="8" t="n">
        <v>1</v>
      </c>
      <c r="M84" s="8">
        <f>K84&amp;"-"&amp;L84</f>
        <v/>
      </c>
      <c r="N84" s="8">
        <f>K84+L84</f>
        <v/>
      </c>
    </row>
    <row r="85">
      <c r="A85" s="8" t="n">
        <v>2023</v>
      </c>
      <c r="B85" s="9" t="inlineStr">
        <is>
          <t>Round of 32</t>
        </is>
      </c>
      <c r="C85" s="8" t="n">
        <v>7</v>
      </c>
      <c r="D85" s="9" t="inlineStr">
        <is>
          <t>Missouri</t>
        </is>
      </c>
      <c r="E85" s="8" t="n">
        <v>15</v>
      </c>
      <c r="F85" s="9" t="inlineStr">
        <is>
          <t>Princeton</t>
        </is>
      </c>
      <c r="G85" s="8" t="inlineStr">
        <is>
          <t>78–63</t>
        </is>
      </c>
      <c r="H85" s="8" t="n">
        <v>8</v>
      </c>
      <c r="I85" s="8" t="n">
        <v>0</v>
      </c>
      <c r="J85" s="8">
        <f>H85&amp;"-"&amp;I85</f>
        <v/>
      </c>
      <c r="K85" s="8" t="n">
        <v>0</v>
      </c>
      <c r="L85" s="8" t="n">
        <v>0</v>
      </c>
      <c r="M85" s="8">
        <f>K85&amp;"-"&amp;L85</f>
        <v/>
      </c>
      <c r="N85" s="8">
        <f>K85+L85</f>
        <v/>
      </c>
    </row>
    <row r="86">
      <c r="A86" s="8" t="n">
        <v>2025</v>
      </c>
      <c r="B86" s="9" t="inlineStr">
        <is>
          <t>Round of 32</t>
        </is>
      </c>
      <c r="C86" s="8" t="n">
        <v>2</v>
      </c>
      <c r="D86" s="9" t="inlineStr">
        <is>
          <t>St. John's (NY)</t>
        </is>
      </c>
      <c r="E86" s="8" t="n">
        <v>10</v>
      </c>
      <c r="F86" s="9" t="inlineStr">
        <is>
          <t>Arkansas</t>
        </is>
      </c>
      <c r="G86" s="8" t="inlineStr">
        <is>
          <t>75–66</t>
        </is>
      </c>
      <c r="H86" s="8" t="n">
        <v>6</v>
      </c>
      <c r="I86" s="8" t="n">
        <v>2</v>
      </c>
      <c r="J86" s="8">
        <f>H86&amp;"-"&amp;I86</f>
        <v/>
      </c>
      <c r="K86" s="8" t="n">
        <v>1</v>
      </c>
      <c r="L86" s="8" t="n">
        <v>2</v>
      </c>
      <c r="M86" s="8">
        <f>K86&amp;"-"&amp;L86</f>
        <v/>
      </c>
      <c r="N86" s="8">
        <f>K86+L86</f>
        <v/>
      </c>
    </row>
    <row r="87">
      <c r="A87" s="8" t="n">
        <v>2026</v>
      </c>
      <c r="B87" s="9" t="inlineStr">
        <is>
          <t>Round of 32</t>
        </is>
      </c>
      <c r="C87" s="8" t="n">
        <v>1</v>
      </c>
      <c r="D87" s="9" t="inlineStr">
        <is>
          <t>Florida</t>
        </is>
      </c>
      <c r="E87" s="8" t="n">
        <v>9</v>
      </c>
      <c r="F87" s="9" t="inlineStr">
        <is>
          <t>Iowa</t>
        </is>
      </c>
      <c r="G87" s="8" t="inlineStr">
        <is>
          <t>73–72</t>
        </is>
      </c>
      <c r="H87" s="8" t="n">
        <v>5</v>
      </c>
      <c r="I87" s="8" t="n">
        <v>2</v>
      </c>
      <c r="J87" s="8">
        <f>H87&amp;"-"&amp;I87</f>
        <v/>
      </c>
      <c r="K87" s="8" t="n">
        <v>1</v>
      </c>
      <c r="L87" s="8" t="n">
        <v>1</v>
      </c>
      <c r="M87" s="8">
        <f>K87&amp;"-"&amp;L87</f>
        <v/>
      </c>
      <c r="N87" s="8">
        <f>K87+L87</f>
        <v/>
      </c>
    </row>
    <row r="88">
      <c r="A88" s="8" t="n">
        <v>2026</v>
      </c>
      <c r="B88" s="9" t="inlineStr">
        <is>
          <t>Round of 32</t>
        </is>
      </c>
      <c r="C88" s="8" t="n">
        <v>3</v>
      </c>
      <c r="D88" s="9" t="inlineStr">
        <is>
          <t>Gonzaga</t>
        </is>
      </c>
      <c r="E88" s="8" t="n">
        <v>11</v>
      </c>
      <c r="F88" s="9" t="inlineStr">
        <is>
          <t>Texas</t>
        </is>
      </c>
      <c r="G88" s="8" t="inlineStr">
        <is>
          <t>74–68</t>
        </is>
      </c>
      <c r="H88" s="8" t="n">
        <v>7</v>
      </c>
      <c r="I88" s="8" t="n">
        <v>1</v>
      </c>
      <c r="J88" s="8">
        <f>H88&amp;"-"&amp;I88</f>
        <v/>
      </c>
      <c r="K88" s="8" t="n">
        <v>2</v>
      </c>
      <c r="L88" s="8" t="n">
        <v>1</v>
      </c>
      <c r="M88" s="8">
        <f>K88&amp;"-"&amp;L88</f>
        <v/>
      </c>
      <c r="N88" s="8">
        <f>K88+L88</f>
        <v/>
      </c>
    </row>
    <row r="89">
      <c r="A89" s="8" t="n">
        <v>2010</v>
      </c>
      <c r="B89" s="9" t="inlineStr">
        <is>
          <t>Round of 64</t>
        </is>
      </c>
      <c r="C89" s="8" t="n">
        <v>3</v>
      </c>
      <c r="D89" s="9" t="inlineStr">
        <is>
          <t>Georgetown</t>
        </is>
      </c>
      <c r="E89" s="8" t="n">
        <v>14</v>
      </c>
      <c r="F89" s="9" t="inlineStr">
        <is>
          <t>Ohio</t>
        </is>
      </c>
      <c r="G89" s="8" t="inlineStr">
        <is>
          <t>97–83</t>
        </is>
      </c>
      <c r="H89" s="8" t="n">
        <v>5</v>
      </c>
      <c r="I89" s="8" t="n">
        <v>0</v>
      </c>
      <c r="J89" s="8">
        <f>H89&amp;"-"&amp;I89</f>
        <v/>
      </c>
      <c r="K89" s="8" t="n">
        <v>1</v>
      </c>
      <c r="L89" s="8" t="n">
        <v>0</v>
      </c>
      <c r="M89" s="8">
        <f>K89&amp;"-"&amp;L89</f>
        <v/>
      </c>
      <c r="N89" s="8">
        <f>K89+L89</f>
        <v/>
      </c>
    </row>
    <row r="90">
      <c r="A90" s="8" t="n">
        <v>2010</v>
      </c>
      <c r="B90" s="9" t="inlineStr">
        <is>
          <t>Round of 64</t>
        </is>
      </c>
      <c r="C90" s="8" t="n">
        <v>4</v>
      </c>
      <c r="D90" s="9" t="inlineStr">
        <is>
          <t>Vanderbilt</t>
        </is>
      </c>
      <c r="E90" s="8" t="n">
        <v>13</v>
      </c>
      <c r="F90" s="9" t="inlineStr">
        <is>
          <t>Murray St.</t>
        </is>
      </c>
      <c r="G90" s="8" t="inlineStr">
        <is>
          <t>66–65</t>
        </is>
      </c>
      <c r="H90" s="8" t="n">
        <v>4</v>
      </c>
      <c r="I90" s="8" t="n">
        <v>1</v>
      </c>
      <c r="J90" s="8">
        <f>H90&amp;"-"&amp;I90</f>
        <v/>
      </c>
      <c r="K90" s="8" t="n">
        <v>1</v>
      </c>
      <c r="L90" s="8" t="n">
        <v>0</v>
      </c>
      <c r="M90" s="8">
        <f>K90&amp;"-"&amp;L90</f>
        <v/>
      </c>
      <c r="N90" s="8">
        <f>K90+L90</f>
        <v/>
      </c>
    </row>
    <row r="91">
      <c r="A91" s="8" t="n">
        <v>2010</v>
      </c>
      <c r="B91" s="9" t="inlineStr">
        <is>
          <t>Round of 64</t>
        </is>
      </c>
      <c r="C91" s="8" t="n">
        <v>5</v>
      </c>
      <c r="D91" s="9" t="inlineStr">
        <is>
          <t>Temple</t>
        </is>
      </c>
      <c r="E91" s="8" t="n">
        <v>12</v>
      </c>
      <c r="F91" s="9" t="inlineStr">
        <is>
          <t>Cornell</t>
        </is>
      </c>
      <c r="G91" s="8" t="inlineStr">
        <is>
          <t>78–65</t>
        </is>
      </c>
      <c r="H91" s="8" t="n">
        <v>4</v>
      </c>
      <c r="I91" s="8" t="n">
        <v>2</v>
      </c>
      <c r="J91" s="8">
        <f>H91&amp;"-"&amp;I91</f>
        <v/>
      </c>
      <c r="K91" s="8" t="n">
        <v>1</v>
      </c>
      <c r="L91" s="8" t="n">
        <v>1</v>
      </c>
      <c r="M91" s="8">
        <f>K91&amp;"-"&amp;L91</f>
        <v/>
      </c>
      <c r="N91" s="8">
        <f>K91+L91</f>
        <v/>
      </c>
    </row>
    <row r="92">
      <c r="A92" s="8" t="n">
        <v>2010</v>
      </c>
      <c r="B92" s="9" t="inlineStr">
        <is>
          <t>Round of 64</t>
        </is>
      </c>
      <c r="C92" s="8" t="n">
        <v>6</v>
      </c>
      <c r="D92" s="9" t="inlineStr">
        <is>
          <t>Notre Dame</t>
        </is>
      </c>
      <c r="E92" s="8" t="n">
        <v>11</v>
      </c>
      <c r="F92" s="9" t="inlineStr">
        <is>
          <t>Old Dominion</t>
        </is>
      </c>
      <c r="G92" s="8" t="inlineStr">
        <is>
          <t>51–50</t>
        </is>
      </c>
      <c r="H92" s="8" t="n">
        <v>6</v>
      </c>
      <c r="I92" s="8" t="n">
        <v>1</v>
      </c>
      <c r="J92" s="8">
        <f>H92&amp;"-"&amp;I92</f>
        <v/>
      </c>
      <c r="K92" s="8" t="n">
        <v>0</v>
      </c>
      <c r="L92" s="8" t="n">
        <v>0</v>
      </c>
      <c r="M92" s="8">
        <f>K92&amp;"-"&amp;L92</f>
        <v/>
      </c>
      <c r="N92" s="8">
        <f>K92+L92</f>
        <v/>
      </c>
    </row>
    <row r="93">
      <c r="A93" s="8" t="n">
        <v>2010</v>
      </c>
      <c r="B93" s="9" t="inlineStr">
        <is>
          <t>Round of 64</t>
        </is>
      </c>
      <c r="C93" s="8" t="n">
        <v>6</v>
      </c>
      <c r="D93" s="9" t="inlineStr">
        <is>
          <t>Marquette</t>
        </is>
      </c>
      <c r="E93" s="8" t="n">
        <v>11</v>
      </c>
      <c r="F93" s="9" t="inlineStr">
        <is>
          <t>Washington</t>
        </is>
      </c>
      <c r="G93" s="8" t="inlineStr">
        <is>
          <t>80–78</t>
        </is>
      </c>
      <c r="H93" s="8" t="n">
        <v>6</v>
      </c>
      <c r="I93" s="8" t="n">
        <v>1</v>
      </c>
      <c r="J93" s="8">
        <f>H93&amp;"-"&amp;I93</f>
        <v/>
      </c>
      <c r="K93" s="8" t="n">
        <v>1</v>
      </c>
      <c r="L93" s="8" t="n">
        <v>1</v>
      </c>
      <c r="M93" s="8">
        <f>K93&amp;"-"&amp;L93</f>
        <v/>
      </c>
      <c r="N93" s="8">
        <f>K93+L93</f>
        <v/>
      </c>
    </row>
    <row r="94">
      <c r="A94" s="8" t="n">
        <v>2011</v>
      </c>
      <c r="B94" s="9" t="inlineStr">
        <is>
          <t>Round of 64</t>
        </is>
      </c>
      <c r="C94" s="8" t="n">
        <v>4</v>
      </c>
      <c r="D94" s="9" t="inlineStr">
        <is>
          <t>Louisville</t>
        </is>
      </c>
      <c r="E94" s="8" t="n">
        <v>13</v>
      </c>
      <c r="F94" s="9" t="inlineStr">
        <is>
          <t>Morehead St.</t>
        </is>
      </c>
      <c r="G94" s="8" t="inlineStr">
        <is>
          <t>62–61</t>
        </is>
      </c>
      <c r="H94" s="8" t="n">
        <v>4</v>
      </c>
      <c r="I94" s="8" t="n">
        <v>0</v>
      </c>
      <c r="J94" s="8">
        <f>H94&amp;"-"&amp;I94</f>
        <v/>
      </c>
      <c r="K94" s="8" t="n">
        <v>0</v>
      </c>
      <c r="L94" s="8" t="n">
        <v>0</v>
      </c>
      <c r="M94" s="8">
        <f>K94&amp;"-"&amp;L94</f>
        <v/>
      </c>
      <c r="N94" s="8">
        <f>K94+L94</f>
        <v/>
      </c>
    </row>
    <row r="95">
      <c r="A95" s="8" t="n">
        <v>2011</v>
      </c>
      <c r="B95" s="9" t="inlineStr">
        <is>
          <t>Round of 64</t>
        </is>
      </c>
      <c r="C95" s="8" t="n">
        <v>5</v>
      </c>
      <c r="D95" s="9" t="inlineStr">
        <is>
          <t>Vanderbilt</t>
        </is>
      </c>
      <c r="E95" s="8" t="n">
        <v>12</v>
      </c>
      <c r="F95" s="9" t="inlineStr">
        <is>
          <t>Richmond</t>
        </is>
      </c>
      <c r="G95" s="8" t="inlineStr">
        <is>
          <t>69–66</t>
        </is>
      </c>
      <c r="H95" s="8" t="n">
        <v>5</v>
      </c>
      <c r="I95" s="8" t="n">
        <v>1</v>
      </c>
      <c r="J95" s="8">
        <f>H95&amp;"-"&amp;I95</f>
        <v/>
      </c>
      <c r="K95" s="8" t="n">
        <v>1</v>
      </c>
      <c r="L95" s="8" t="n">
        <v>1</v>
      </c>
      <c r="M95" s="8">
        <f>K95&amp;"-"&amp;L95</f>
        <v/>
      </c>
      <c r="N95" s="8">
        <f>K95+L95</f>
        <v/>
      </c>
    </row>
    <row r="96">
      <c r="A96" s="8" t="n">
        <v>2011</v>
      </c>
      <c r="B96" s="9" t="inlineStr">
        <is>
          <t>Round of 64</t>
        </is>
      </c>
      <c r="C96" s="8" t="n">
        <v>6</v>
      </c>
      <c r="D96" s="9" t="inlineStr">
        <is>
          <t>St. John's (NY)</t>
        </is>
      </c>
      <c r="E96" s="8" t="n">
        <v>11</v>
      </c>
      <c r="F96" s="9" t="inlineStr">
        <is>
          <t>Gonzaga</t>
        </is>
      </c>
      <c r="G96" s="8" t="inlineStr">
        <is>
          <t>86–71</t>
        </is>
      </c>
      <c r="H96" s="8" t="n">
        <v>4</v>
      </c>
      <c r="I96" s="8" t="n">
        <v>1</v>
      </c>
      <c r="J96" s="8">
        <f>H96&amp;"-"&amp;I96</f>
        <v/>
      </c>
      <c r="K96" s="8" t="n">
        <v>0</v>
      </c>
      <c r="L96" s="8" t="n">
        <v>0</v>
      </c>
      <c r="M96" s="8">
        <f>K96&amp;"-"&amp;L96</f>
        <v/>
      </c>
      <c r="N96" s="8">
        <f>K96+L96</f>
        <v/>
      </c>
    </row>
    <row r="97">
      <c r="A97" s="8" t="n">
        <v>2011</v>
      </c>
      <c r="B97" s="9" t="inlineStr">
        <is>
          <t>Round of 64</t>
        </is>
      </c>
      <c r="C97" s="8" t="n">
        <v>6</v>
      </c>
      <c r="D97" s="9" t="inlineStr">
        <is>
          <t>Xavier</t>
        </is>
      </c>
      <c r="E97" s="8" t="n">
        <v>11</v>
      </c>
      <c r="F97" s="9" t="inlineStr">
        <is>
          <t>Marquette</t>
        </is>
      </c>
      <c r="G97" s="8" t="inlineStr">
        <is>
          <t>66–55</t>
        </is>
      </c>
      <c r="H97" s="8" t="n">
        <v>5</v>
      </c>
      <c r="I97" s="8" t="n">
        <v>1</v>
      </c>
      <c r="J97" s="8">
        <f>H97&amp;"-"&amp;I97</f>
        <v/>
      </c>
      <c r="K97" s="8" t="n">
        <v>0</v>
      </c>
      <c r="L97" s="8" t="n">
        <v>0</v>
      </c>
      <c r="M97" s="8">
        <f>K97&amp;"-"&amp;L97</f>
        <v/>
      </c>
      <c r="N97" s="8">
        <f>K97+L97</f>
        <v/>
      </c>
    </row>
    <row r="98">
      <c r="A98" s="8" t="n">
        <v>2011</v>
      </c>
      <c r="B98" s="9" t="inlineStr">
        <is>
          <t>Round of 64</t>
        </is>
      </c>
      <c r="C98" s="8" t="n">
        <v>6</v>
      </c>
      <c r="D98" s="9" t="inlineStr">
        <is>
          <t>Georgetown</t>
        </is>
      </c>
      <c r="E98" s="8" t="n">
        <v>11</v>
      </c>
      <c r="F98" s="9" t="inlineStr">
        <is>
          <t>VCU</t>
        </is>
      </c>
      <c r="G98" s="8" t="inlineStr">
        <is>
          <t>74–56</t>
        </is>
      </c>
      <c r="H98" s="8" t="n">
        <v>6</v>
      </c>
      <c r="I98" s="8" t="n">
        <v>0</v>
      </c>
      <c r="J98" s="8">
        <f>H98&amp;"-"&amp;I98</f>
        <v/>
      </c>
      <c r="K98" s="8" t="n">
        <v>1</v>
      </c>
      <c r="L98" s="8" t="n">
        <v>0</v>
      </c>
      <c r="M98" s="8">
        <f>K98&amp;"-"&amp;L98</f>
        <v/>
      </c>
      <c r="N98" s="8">
        <f>K98+L98</f>
        <v/>
      </c>
    </row>
    <row r="99">
      <c r="A99" s="8" t="n">
        <v>2012</v>
      </c>
      <c r="B99" s="9" t="inlineStr">
        <is>
          <t>Round of 64</t>
        </is>
      </c>
      <c r="C99" s="8" t="n">
        <v>2</v>
      </c>
      <c r="D99" s="9" t="inlineStr">
        <is>
          <t>Duke</t>
        </is>
      </c>
      <c r="E99" s="8" t="n">
        <v>15</v>
      </c>
      <c r="F99" s="9" t="inlineStr">
        <is>
          <t>Lehigh</t>
        </is>
      </c>
      <c r="G99" s="8" t="inlineStr">
        <is>
          <t>75–70</t>
        </is>
      </c>
      <c r="H99" s="8" t="n">
        <v>7</v>
      </c>
      <c r="I99" s="8" t="n">
        <v>1</v>
      </c>
      <c r="J99" s="8">
        <f>H99&amp;"-"&amp;I99</f>
        <v/>
      </c>
      <c r="K99" s="8" t="n">
        <v>4</v>
      </c>
      <c r="L99" s="8" t="n">
        <v>1</v>
      </c>
      <c r="M99" s="8">
        <f>K99&amp;"-"&amp;L99</f>
        <v/>
      </c>
      <c r="N99" s="8">
        <f>K99+L99</f>
        <v/>
      </c>
    </row>
    <row r="100">
      <c r="A100" s="8" t="n">
        <v>2012</v>
      </c>
      <c r="B100" s="9" t="inlineStr">
        <is>
          <t>Round of 64</t>
        </is>
      </c>
      <c r="C100" s="8" t="n">
        <v>2</v>
      </c>
      <c r="D100" s="9" t="inlineStr">
        <is>
          <t>Missouri</t>
        </is>
      </c>
      <c r="E100" s="8" t="n">
        <v>15</v>
      </c>
      <c r="F100" s="9" t="inlineStr">
        <is>
          <t>Norfolk St.</t>
        </is>
      </c>
      <c r="G100" s="8" t="inlineStr">
        <is>
          <t>86–84</t>
        </is>
      </c>
      <c r="H100" s="8" t="n">
        <v>6</v>
      </c>
      <c r="I100" s="8" t="n">
        <v>0</v>
      </c>
      <c r="J100" s="8">
        <f>H100&amp;"-"&amp;I100</f>
        <v/>
      </c>
      <c r="K100" s="8" t="n">
        <v>1</v>
      </c>
      <c r="L100" s="8" t="n">
        <v>0</v>
      </c>
      <c r="M100" s="8">
        <f>K100&amp;"-"&amp;L100</f>
        <v/>
      </c>
      <c r="N100" s="8">
        <f>K100+L100</f>
        <v/>
      </c>
    </row>
    <row r="101">
      <c r="A101" s="8" t="n">
        <v>2012</v>
      </c>
      <c r="B101" s="9" t="inlineStr">
        <is>
          <t>Round of 64</t>
        </is>
      </c>
      <c r="C101" s="8" t="n">
        <v>4</v>
      </c>
      <c r="D101" s="9" t="inlineStr">
        <is>
          <t>Michigan</t>
        </is>
      </c>
      <c r="E101" s="8" t="n">
        <v>13</v>
      </c>
      <c r="F101" s="9" t="inlineStr">
        <is>
          <t>Ohio</t>
        </is>
      </c>
      <c r="G101" s="8" t="inlineStr">
        <is>
          <t>65–60</t>
        </is>
      </c>
      <c r="H101" s="8" t="n">
        <v>5</v>
      </c>
      <c r="I101" s="8" t="n">
        <v>2</v>
      </c>
      <c r="J101" s="8">
        <f>H101&amp;"-"&amp;I101</f>
        <v/>
      </c>
      <c r="K101" s="8" t="n">
        <v>1</v>
      </c>
      <c r="L101" s="8" t="n">
        <v>2</v>
      </c>
      <c r="M101" s="8">
        <f>K101&amp;"-"&amp;L101</f>
        <v/>
      </c>
      <c r="N101" s="8">
        <f>K101+L101</f>
        <v/>
      </c>
    </row>
    <row r="102">
      <c r="A102" s="8" t="n">
        <v>2012</v>
      </c>
      <c r="B102" s="9" t="inlineStr">
        <is>
          <t>Round of 64</t>
        </is>
      </c>
      <c r="C102" s="8" t="n">
        <v>5</v>
      </c>
      <c r="D102" s="9" t="inlineStr">
        <is>
          <t>Wichita St.</t>
        </is>
      </c>
      <c r="E102" s="8" t="n">
        <v>12</v>
      </c>
      <c r="F102" s="9" t="inlineStr">
        <is>
          <t>VCU</t>
        </is>
      </c>
      <c r="G102" s="8" t="inlineStr">
        <is>
          <t>62–59</t>
        </is>
      </c>
      <c r="H102" s="8" t="n">
        <v>3</v>
      </c>
      <c r="I102" s="8" t="n">
        <v>2</v>
      </c>
      <c r="J102" s="8">
        <f>H102&amp;"-"&amp;I102</f>
        <v/>
      </c>
      <c r="K102" s="8" t="n">
        <v>0</v>
      </c>
      <c r="L102" s="8" t="n">
        <v>2</v>
      </c>
      <c r="M102" s="8">
        <f>K102&amp;"-"&amp;L102</f>
        <v/>
      </c>
      <c r="N102" s="8">
        <f>K102+L102</f>
        <v/>
      </c>
    </row>
    <row r="103">
      <c r="A103" s="8" t="n">
        <v>2012</v>
      </c>
      <c r="B103" s="9" t="inlineStr">
        <is>
          <t>Round of 64</t>
        </is>
      </c>
      <c r="C103" s="8" t="n">
        <v>5</v>
      </c>
      <c r="D103" s="9" t="inlineStr">
        <is>
          <t>Temple</t>
        </is>
      </c>
      <c r="E103" s="8" t="n">
        <v>12</v>
      </c>
      <c r="F103" s="9" t="inlineStr">
        <is>
          <t>South Fla.</t>
        </is>
      </c>
      <c r="G103" s="8" t="inlineStr">
        <is>
          <t>58–44</t>
        </is>
      </c>
      <c r="H103" s="8" t="n">
        <v>3</v>
      </c>
      <c r="I103" s="8" t="n">
        <v>2</v>
      </c>
      <c r="J103" s="8">
        <f>H103&amp;"-"&amp;I103</f>
        <v/>
      </c>
      <c r="K103" s="8" t="n">
        <v>1</v>
      </c>
      <c r="L103" s="8" t="n">
        <v>1</v>
      </c>
      <c r="M103" s="8">
        <f>K103&amp;"-"&amp;L103</f>
        <v/>
      </c>
      <c r="N103" s="8">
        <f>K103+L103</f>
        <v/>
      </c>
    </row>
    <row r="104">
      <c r="A104" s="8" t="n">
        <v>2012</v>
      </c>
      <c r="B104" s="9" t="inlineStr">
        <is>
          <t>Round of 64</t>
        </is>
      </c>
      <c r="C104" s="8" t="n">
        <v>6</v>
      </c>
      <c r="D104" s="9" t="inlineStr">
        <is>
          <t>UNLV</t>
        </is>
      </c>
      <c r="E104" s="8" t="n">
        <v>11</v>
      </c>
      <c r="F104" s="9" t="inlineStr">
        <is>
          <t>Colorado</t>
        </is>
      </c>
      <c r="G104" s="8" t="inlineStr">
        <is>
          <t>68–64</t>
        </is>
      </c>
      <c r="H104" s="8" t="n">
        <v>8</v>
      </c>
      <c r="I104" s="8" t="n">
        <v>0</v>
      </c>
      <c r="J104" s="8">
        <f>H104&amp;"-"&amp;I104</f>
        <v/>
      </c>
      <c r="K104" s="8" t="n">
        <v>1</v>
      </c>
      <c r="L104" s="8" t="n">
        <v>0</v>
      </c>
      <c r="M104" s="8">
        <f>K104&amp;"-"&amp;L104</f>
        <v/>
      </c>
      <c r="N104" s="8">
        <f>K104+L104</f>
        <v/>
      </c>
    </row>
    <row r="105">
      <c r="A105" s="8" t="n">
        <v>2012</v>
      </c>
      <c r="B105" s="9" t="inlineStr">
        <is>
          <t>Round of 64</t>
        </is>
      </c>
      <c r="C105" s="8" t="n">
        <v>6</v>
      </c>
      <c r="D105" s="9" t="inlineStr">
        <is>
          <t>San Diego St.</t>
        </is>
      </c>
      <c r="E105" s="8" t="n">
        <v>11</v>
      </c>
      <c r="F105" s="9" t="inlineStr">
        <is>
          <t>NC State</t>
        </is>
      </c>
      <c r="G105" s="8" t="inlineStr">
        <is>
          <t>79–65</t>
        </is>
      </c>
      <c r="H105" s="8" t="n">
        <v>7</v>
      </c>
      <c r="I105" s="8" t="n">
        <v>2</v>
      </c>
      <c r="J105" s="8">
        <f>H105&amp;"-"&amp;I105</f>
        <v/>
      </c>
      <c r="K105" s="8" t="n">
        <v>1</v>
      </c>
      <c r="L105" s="8" t="n">
        <v>2</v>
      </c>
      <c r="M105" s="8">
        <f>K105&amp;"-"&amp;L105</f>
        <v/>
      </c>
      <c r="N105" s="8">
        <f>K105+L105</f>
        <v/>
      </c>
    </row>
    <row r="106">
      <c r="A106" s="8" t="n">
        <v>2013</v>
      </c>
      <c r="B106" s="9" t="inlineStr">
        <is>
          <t>Round of 64</t>
        </is>
      </c>
      <c r="C106" s="8" t="n">
        <v>2</v>
      </c>
      <c r="D106" s="9" t="inlineStr">
        <is>
          <t>Georgetown</t>
        </is>
      </c>
      <c r="E106" s="8" t="n">
        <v>15</v>
      </c>
      <c r="F106" s="9" t="inlineStr">
        <is>
          <t>FGCU</t>
        </is>
      </c>
      <c r="G106" s="8" t="inlineStr">
        <is>
          <t>78–68</t>
        </is>
      </c>
      <c r="H106" s="8" t="n">
        <v>5</v>
      </c>
      <c r="I106" s="8" t="n">
        <v>1</v>
      </c>
      <c r="J106" s="8">
        <f>H106&amp;"-"&amp;I106</f>
        <v/>
      </c>
      <c r="K106" s="8" t="n">
        <v>0</v>
      </c>
      <c r="L106" s="8" t="n">
        <v>1</v>
      </c>
      <c r="M106" s="8">
        <f>K106&amp;"-"&amp;L106</f>
        <v/>
      </c>
      <c r="N106" s="8">
        <f>K106+L106</f>
        <v/>
      </c>
    </row>
    <row r="107">
      <c r="A107" s="8" t="n">
        <v>2013</v>
      </c>
      <c r="B107" s="9" t="inlineStr">
        <is>
          <t>Round of 64</t>
        </is>
      </c>
      <c r="C107" s="8" t="n">
        <v>3</v>
      </c>
      <c r="D107" s="9" t="inlineStr">
        <is>
          <t>New Mexico</t>
        </is>
      </c>
      <c r="E107" s="8" t="n">
        <v>14</v>
      </c>
      <c r="F107" s="9" t="inlineStr">
        <is>
          <t>Harvard</t>
        </is>
      </c>
      <c r="G107" s="8" t="inlineStr">
        <is>
          <t>68–62</t>
        </is>
      </c>
      <c r="H107" s="8" t="n">
        <v>7</v>
      </c>
      <c r="I107" s="8" t="n">
        <v>0</v>
      </c>
      <c r="J107" s="8">
        <f>H107&amp;"-"&amp;I107</f>
        <v/>
      </c>
      <c r="K107" s="8" t="n">
        <v>0</v>
      </c>
      <c r="L107" s="8" t="n">
        <v>0</v>
      </c>
      <c r="M107" s="8">
        <f>K107&amp;"-"&amp;L107</f>
        <v/>
      </c>
      <c r="N107" s="8">
        <f>K107+L107</f>
        <v/>
      </c>
    </row>
    <row r="108">
      <c r="A108" s="8" t="n">
        <v>2013</v>
      </c>
      <c r="B108" s="9" t="inlineStr">
        <is>
          <t>Round of 64</t>
        </is>
      </c>
      <c r="C108" s="8" t="n">
        <v>4</v>
      </c>
      <c r="D108" s="9" t="inlineStr">
        <is>
          <t>Kansas St.</t>
        </is>
      </c>
      <c r="E108" s="8" t="n">
        <v>13</v>
      </c>
      <c r="F108" s="9" t="inlineStr">
        <is>
          <t>La Salle</t>
        </is>
      </c>
      <c r="G108" s="8" t="inlineStr">
        <is>
          <t>63–61</t>
        </is>
      </c>
      <c r="H108" s="8" t="n">
        <v>5</v>
      </c>
      <c r="I108" s="8" t="n">
        <v>1</v>
      </c>
      <c r="J108" s="8">
        <f>H108&amp;"-"&amp;I108</f>
        <v/>
      </c>
      <c r="K108" s="8" t="n">
        <v>0</v>
      </c>
      <c r="L108" s="8" t="n">
        <v>1</v>
      </c>
      <c r="M108" s="8">
        <f>K108&amp;"-"&amp;L108</f>
        <v/>
      </c>
      <c r="N108" s="8">
        <f>K108+L108</f>
        <v/>
      </c>
    </row>
    <row r="109">
      <c r="A109" s="8" t="n">
        <v>2013</v>
      </c>
      <c r="B109" s="9" t="inlineStr">
        <is>
          <t>Round of 64</t>
        </is>
      </c>
      <c r="C109" s="8" t="n">
        <v>5</v>
      </c>
      <c r="D109" s="9" t="inlineStr">
        <is>
          <t>UNLV</t>
        </is>
      </c>
      <c r="E109" s="8" t="n">
        <v>12</v>
      </c>
      <c r="F109" s="9" t="inlineStr">
        <is>
          <t>California</t>
        </is>
      </c>
      <c r="G109" s="8" t="inlineStr">
        <is>
          <t>64–61</t>
        </is>
      </c>
      <c r="H109" s="8" t="n">
        <v>4</v>
      </c>
      <c r="I109" s="8" t="n">
        <v>1</v>
      </c>
      <c r="J109" s="8">
        <f>H109&amp;"-"&amp;I109</f>
        <v/>
      </c>
      <c r="K109" s="8" t="n">
        <v>1</v>
      </c>
      <c r="L109" s="8" t="n">
        <v>0</v>
      </c>
      <c r="M109" s="8">
        <f>K109&amp;"-"&amp;L109</f>
        <v/>
      </c>
      <c r="N109" s="8">
        <f>K109+L109</f>
        <v/>
      </c>
    </row>
    <row r="110">
      <c r="A110" s="8" t="n">
        <v>2013</v>
      </c>
      <c r="B110" s="9" t="inlineStr">
        <is>
          <t>Round of 64</t>
        </is>
      </c>
      <c r="C110" s="8" t="n">
        <v>5</v>
      </c>
      <c r="D110" s="9" t="inlineStr">
        <is>
          <t>Oklahoma St.</t>
        </is>
      </c>
      <c r="E110" s="8" t="n">
        <v>12</v>
      </c>
      <c r="F110" s="9" t="inlineStr">
        <is>
          <t>Oregon</t>
        </is>
      </c>
      <c r="G110" s="8" t="inlineStr">
        <is>
          <t>68–55</t>
        </is>
      </c>
      <c r="H110" s="8" t="n">
        <v>5</v>
      </c>
      <c r="I110" s="8" t="n">
        <v>0</v>
      </c>
      <c r="J110" s="8">
        <f>H110&amp;"-"&amp;I110</f>
        <v/>
      </c>
      <c r="K110" s="8" t="n">
        <v>1</v>
      </c>
      <c r="L110" s="8" t="n">
        <v>0</v>
      </c>
      <c r="M110" s="8">
        <f>K110&amp;"-"&amp;L110</f>
        <v/>
      </c>
      <c r="N110" s="8">
        <f>K110+L110</f>
        <v/>
      </c>
    </row>
    <row r="111">
      <c r="A111" s="8" t="n">
        <v>2013</v>
      </c>
      <c r="B111" s="9" t="inlineStr">
        <is>
          <t>Round of 64</t>
        </is>
      </c>
      <c r="C111" s="8" t="n">
        <v>5</v>
      </c>
      <c r="D111" s="9" t="inlineStr">
        <is>
          <t>Wisconsin</t>
        </is>
      </c>
      <c r="E111" s="8" t="n">
        <v>12</v>
      </c>
      <c r="F111" s="9" t="inlineStr">
        <is>
          <t>Ole Miss</t>
        </is>
      </c>
      <c r="G111" s="8" t="inlineStr">
        <is>
          <t>57–46</t>
        </is>
      </c>
      <c r="H111" s="8" t="n">
        <v>4</v>
      </c>
      <c r="I111" s="8" t="n">
        <v>3</v>
      </c>
      <c r="J111" s="8">
        <f>H111&amp;"-"&amp;I111</f>
        <v/>
      </c>
      <c r="K111" s="8" t="n">
        <v>0</v>
      </c>
      <c r="L111" s="8" t="n">
        <v>3</v>
      </c>
      <c r="M111" s="8">
        <f>K111&amp;"-"&amp;L111</f>
        <v/>
      </c>
      <c r="N111" s="8">
        <f>K111+L111</f>
        <v/>
      </c>
    </row>
    <row r="112">
      <c r="A112" s="8" t="n">
        <v>2013</v>
      </c>
      <c r="B112" s="9" t="inlineStr">
        <is>
          <t>Round of 64</t>
        </is>
      </c>
      <c r="C112" s="8" t="n">
        <v>6</v>
      </c>
      <c r="D112" s="9" t="inlineStr">
        <is>
          <t>UCLA</t>
        </is>
      </c>
      <c r="E112" s="8" t="n">
        <v>11</v>
      </c>
      <c r="F112" s="9" t="inlineStr">
        <is>
          <t>Minnesota</t>
        </is>
      </c>
      <c r="G112" s="8" t="inlineStr">
        <is>
          <t>83–63</t>
        </is>
      </c>
      <c r="H112" s="8" t="n">
        <v>5</v>
      </c>
      <c r="I112" s="8" t="n">
        <v>2</v>
      </c>
      <c r="J112" s="8">
        <f>H112&amp;"-"&amp;I112</f>
        <v/>
      </c>
      <c r="K112" s="8" t="n">
        <v>0</v>
      </c>
      <c r="L112" s="8" t="n">
        <v>1</v>
      </c>
      <c r="M112" s="8">
        <f>K112&amp;"-"&amp;L112</f>
        <v/>
      </c>
      <c r="N112" s="8">
        <f>K112+L112</f>
        <v/>
      </c>
    </row>
    <row r="113">
      <c r="A113" s="8" t="n">
        <v>2014</v>
      </c>
      <c r="B113" s="9" t="inlineStr">
        <is>
          <t>Round of 64</t>
        </is>
      </c>
      <c r="C113" s="8" t="n">
        <v>3</v>
      </c>
      <c r="D113" s="9" t="inlineStr">
        <is>
          <t>Duke</t>
        </is>
      </c>
      <c r="E113" s="8" t="n">
        <v>14</v>
      </c>
      <c r="F113" s="9" t="inlineStr">
        <is>
          <t>Mercer</t>
        </is>
      </c>
      <c r="G113" s="8" t="inlineStr">
        <is>
          <t>78–71</t>
        </is>
      </c>
      <c r="H113" s="8" t="n">
        <v>6</v>
      </c>
      <c r="I113" s="8" t="n">
        <v>2</v>
      </c>
      <c r="J113" s="8">
        <f>H113&amp;"-"&amp;I113</f>
        <v/>
      </c>
      <c r="K113" s="8" t="n">
        <v>0</v>
      </c>
      <c r="L113" s="8" t="n">
        <v>2</v>
      </c>
      <c r="M113" s="8">
        <f>K113&amp;"-"&amp;L113</f>
        <v/>
      </c>
      <c r="N113" s="8">
        <f>K113+L113</f>
        <v/>
      </c>
    </row>
    <row r="114">
      <c r="A114" s="8" t="n">
        <v>2014</v>
      </c>
      <c r="B114" s="9" t="inlineStr">
        <is>
          <t>Round of 64</t>
        </is>
      </c>
      <c r="C114" s="8" t="n">
        <v>5</v>
      </c>
      <c r="D114" s="9" t="inlineStr">
        <is>
          <t>Cincinnati</t>
        </is>
      </c>
      <c r="E114" s="8" t="n">
        <v>12</v>
      </c>
      <c r="F114" s="9" t="inlineStr">
        <is>
          <t>Harvard</t>
        </is>
      </c>
      <c r="G114" s="8" t="inlineStr">
        <is>
          <t>61–57</t>
        </is>
      </c>
      <c r="H114" s="8" t="n">
        <v>6</v>
      </c>
      <c r="I114" s="8" t="n">
        <v>0</v>
      </c>
      <c r="J114" s="8">
        <f>H114&amp;"-"&amp;I114</f>
        <v/>
      </c>
      <c r="K114" s="8" t="n">
        <v>0</v>
      </c>
      <c r="L114" s="8" t="n">
        <v>0</v>
      </c>
      <c r="M114" s="8">
        <f>K114&amp;"-"&amp;L114</f>
        <v/>
      </c>
      <c r="N114" s="8">
        <f>K114+L114</f>
        <v/>
      </c>
    </row>
    <row r="115">
      <c r="A115" s="8" t="n">
        <v>2014</v>
      </c>
      <c r="B115" s="9" t="inlineStr">
        <is>
          <t>Round of 64</t>
        </is>
      </c>
      <c r="C115" s="8" t="n">
        <v>5</v>
      </c>
      <c r="D115" s="9" t="inlineStr">
        <is>
          <t>Oklahoma</t>
        </is>
      </c>
      <c r="E115" s="8" t="n">
        <v>12</v>
      </c>
      <c r="F115" s="9" t="inlineStr">
        <is>
          <t>North Dakota St.</t>
        </is>
      </c>
      <c r="G115" s="8" t="inlineStr">
        <is>
          <t>80–75</t>
        </is>
      </c>
      <c r="H115" s="8" t="n">
        <v>5</v>
      </c>
      <c r="I115" s="8" t="n">
        <v>1</v>
      </c>
      <c r="J115" s="8">
        <f>H115&amp;"-"&amp;I115</f>
        <v/>
      </c>
      <c r="K115" s="8" t="n">
        <v>0</v>
      </c>
      <c r="L115" s="8" t="n">
        <v>1</v>
      </c>
      <c r="M115" s="8">
        <f>K115&amp;"-"&amp;L115</f>
        <v/>
      </c>
      <c r="N115" s="8">
        <f>K115+L115</f>
        <v/>
      </c>
    </row>
    <row r="116">
      <c r="A116" s="8" t="n">
        <v>2014</v>
      </c>
      <c r="B116" s="9" t="inlineStr">
        <is>
          <t>Round of 64</t>
        </is>
      </c>
      <c r="C116" s="8" t="n">
        <v>5</v>
      </c>
      <c r="D116" s="9" t="inlineStr">
        <is>
          <t>VCU</t>
        </is>
      </c>
      <c r="E116" s="8" t="n">
        <v>12</v>
      </c>
      <c r="F116" s="9" t="inlineStr">
        <is>
          <t>SFA</t>
        </is>
      </c>
      <c r="G116" s="8" t="inlineStr">
        <is>
          <t>77–75</t>
        </is>
      </c>
      <c r="H116" s="8" t="n">
        <v>5</v>
      </c>
      <c r="I116" s="8" t="n">
        <v>2</v>
      </c>
      <c r="J116" s="8">
        <f>H116&amp;"-"&amp;I116</f>
        <v/>
      </c>
      <c r="K116" s="8" t="n">
        <v>1</v>
      </c>
      <c r="L116" s="8" t="n">
        <v>1</v>
      </c>
      <c r="M116" s="8">
        <f>K116&amp;"-"&amp;L116</f>
        <v/>
      </c>
      <c r="N116" s="8">
        <f>K116+L116</f>
        <v/>
      </c>
    </row>
    <row r="117">
      <c r="A117" s="8" t="n">
        <v>2014</v>
      </c>
      <c r="B117" s="9" t="inlineStr">
        <is>
          <t>Round of 64</t>
        </is>
      </c>
      <c r="C117" s="8" t="n">
        <v>6</v>
      </c>
      <c r="D117" s="9" t="inlineStr">
        <is>
          <t>Ohio St.</t>
        </is>
      </c>
      <c r="E117" s="8" t="n">
        <v>11</v>
      </c>
      <c r="F117" s="9" t="inlineStr">
        <is>
          <t>Dayton</t>
        </is>
      </c>
      <c r="G117" s="8" t="inlineStr">
        <is>
          <t>60–59</t>
        </is>
      </c>
      <c r="H117" s="8" t="n">
        <v>6</v>
      </c>
      <c r="I117" s="8" t="n">
        <v>0</v>
      </c>
      <c r="J117" s="8">
        <f>H117&amp;"-"&amp;I117</f>
        <v/>
      </c>
      <c r="K117" s="8" t="n">
        <v>0</v>
      </c>
      <c r="L117" s="8" t="n">
        <v>0</v>
      </c>
      <c r="M117" s="8">
        <f>K117&amp;"-"&amp;L117</f>
        <v/>
      </c>
      <c r="N117" s="8">
        <f>K117+L117</f>
        <v/>
      </c>
    </row>
    <row r="118">
      <c r="A118" s="8" t="n">
        <v>2014</v>
      </c>
      <c r="B118" s="9" t="inlineStr">
        <is>
          <t>Round of 64</t>
        </is>
      </c>
      <c r="C118" s="8" t="n">
        <v>6</v>
      </c>
      <c r="D118" s="9" t="inlineStr">
        <is>
          <t>Massachusetts</t>
        </is>
      </c>
      <c r="E118" s="8" t="n">
        <v>11</v>
      </c>
      <c r="F118" s="9" t="inlineStr">
        <is>
          <t>Tennessee</t>
        </is>
      </c>
      <c r="G118" s="8" t="inlineStr">
        <is>
          <t>86–67</t>
        </is>
      </c>
      <c r="H118" s="8" t="n">
        <v>6</v>
      </c>
      <c r="I118" s="8" t="n">
        <v>0</v>
      </c>
      <c r="J118" s="8">
        <f>H118&amp;"-"&amp;I118</f>
        <v/>
      </c>
      <c r="K118" s="8" t="n">
        <v>1</v>
      </c>
      <c r="L118" s="8" t="n">
        <v>0</v>
      </c>
      <c r="M118" s="8">
        <f>K118&amp;"-"&amp;L118</f>
        <v/>
      </c>
      <c r="N118" s="8">
        <f>K118+L118</f>
        <v/>
      </c>
    </row>
    <row r="119">
      <c r="A119" s="8" t="n">
        <v>2015</v>
      </c>
      <c r="B119" s="9" t="inlineStr">
        <is>
          <t>Round of 64</t>
        </is>
      </c>
      <c r="C119" s="8" t="n">
        <v>3</v>
      </c>
      <c r="D119" s="9" t="inlineStr">
        <is>
          <t>Baylor</t>
        </is>
      </c>
      <c r="E119" s="8" t="n">
        <v>14</v>
      </c>
      <c r="F119" s="9" t="inlineStr">
        <is>
          <t>Georgia St.</t>
        </is>
      </c>
      <c r="G119" s="8" t="inlineStr">
        <is>
          <t>57–56</t>
        </is>
      </c>
      <c r="H119" s="8" t="n">
        <v>5</v>
      </c>
      <c r="I119" s="8" t="n">
        <v>1</v>
      </c>
      <c r="J119" s="8">
        <f>H119&amp;"-"&amp;I119</f>
        <v/>
      </c>
      <c r="K119" s="8" t="n">
        <v>0</v>
      </c>
      <c r="L119" s="8" t="n">
        <v>0</v>
      </c>
      <c r="M119" s="8">
        <f>K119&amp;"-"&amp;L119</f>
        <v/>
      </c>
      <c r="N119" s="8">
        <f>K119+L119</f>
        <v/>
      </c>
    </row>
    <row r="120">
      <c r="A120" s="8" t="n">
        <v>2015</v>
      </c>
      <c r="B120" s="9" t="inlineStr">
        <is>
          <t>Round of 64</t>
        </is>
      </c>
      <c r="C120" s="8" t="n">
        <v>3</v>
      </c>
      <c r="D120" s="9" t="inlineStr">
        <is>
          <t>Iowa St.</t>
        </is>
      </c>
      <c r="E120" s="8" t="n">
        <v>14</v>
      </c>
      <c r="F120" s="9" t="inlineStr">
        <is>
          <t>UAB</t>
        </is>
      </c>
      <c r="G120" s="8" t="inlineStr">
        <is>
          <t>60–59</t>
        </is>
      </c>
      <c r="H120" s="8" t="n">
        <v>3</v>
      </c>
      <c r="I120" s="8" t="n">
        <v>1</v>
      </c>
      <c r="J120" s="8">
        <f>H120&amp;"-"&amp;I120</f>
        <v/>
      </c>
      <c r="K120" s="8" t="n">
        <v>0</v>
      </c>
      <c r="L120" s="8" t="n">
        <v>1</v>
      </c>
      <c r="M120" s="8">
        <f>K120&amp;"-"&amp;L120</f>
        <v/>
      </c>
      <c r="N120" s="8">
        <f>K120+L120</f>
        <v/>
      </c>
    </row>
    <row r="121">
      <c r="A121" s="8" t="n">
        <v>2015</v>
      </c>
      <c r="B121" s="9" t="inlineStr">
        <is>
          <t>Round of 64</t>
        </is>
      </c>
      <c r="C121" s="8" t="n">
        <v>6</v>
      </c>
      <c r="D121" s="9" t="inlineStr">
        <is>
          <t>SMU</t>
        </is>
      </c>
      <c r="E121" s="8" t="n">
        <v>11</v>
      </c>
      <c r="F121" s="9" t="inlineStr">
        <is>
          <t>UCLA</t>
        </is>
      </c>
      <c r="G121" s="8" t="inlineStr">
        <is>
          <t>60–59</t>
        </is>
      </c>
      <c r="H121" s="8" t="n">
        <v>4</v>
      </c>
      <c r="I121" s="8" t="n">
        <v>3</v>
      </c>
      <c r="J121" s="8">
        <f>H121&amp;"-"&amp;I121</f>
        <v/>
      </c>
      <c r="K121" s="8" t="n">
        <v>0</v>
      </c>
      <c r="L121" s="8" t="n">
        <v>2</v>
      </c>
      <c r="M121" s="8">
        <f>K121&amp;"-"&amp;L121</f>
        <v/>
      </c>
      <c r="N121" s="8">
        <f>K121+L121</f>
        <v/>
      </c>
    </row>
    <row r="122">
      <c r="A122" s="8" t="n">
        <v>2015</v>
      </c>
      <c r="B122" s="9" t="inlineStr">
        <is>
          <t>Round of 64</t>
        </is>
      </c>
      <c r="C122" s="8" t="n">
        <v>6</v>
      </c>
      <c r="D122" s="9" t="inlineStr">
        <is>
          <t>Providence</t>
        </is>
      </c>
      <c r="E122" s="8" t="n">
        <v>11</v>
      </c>
      <c r="F122" s="9" t="inlineStr">
        <is>
          <t>Dayton</t>
        </is>
      </c>
      <c r="G122" s="8" t="inlineStr">
        <is>
          <t>66–53</t>
        </is>
      </c>
      <c r="H122" s="8" t="n">
        <v>6</v>
      </c>
      <c r="I122" s="8" t="n">
        <v>1</v>
      </c>
      <c r="J122" s="8">
        <f>H122&amp;"-"&amp;I122</f>
        <v/>
      </c>
      <c r="K122" s="8" t="n">
        <v>1</v>
      </c>
      <c r="L122" s="8" t="n">
        <v>1</v>
      </c>
      <c r="M122" s="8">
        <f>K122&amp;"-"&amp;L122</f>
        <v/>
      </c>
      <c r="N122" s="8">
        <f>K122+L122</f>
        <v/>
      </c>
    </row>
    <row r="123">
      <c r="A123" s="8" t="n">
        <v>2016</v>
      </c>
      <c r="B123" s="9" t="inlineStr">
        <is>
          <t>Round of 64</t>
        </is>
      </c>
      <c r="C123" s="8" t="n">
        <v>2</v>
      </c>
      <c r="D123" s="9" t="inlineStr">
        <is>
          <t>Michigan St.</t>
        </is>
      </c>
      <c r="E123" s="8" t="n">
        <v>15</v>
      </c>
      <c r="F123" s="9" t="inlineStr">
        <is>
          <t>Middle Tenn.</t>
        </is>
      </c>
      <c r="G123" s="8" t="inlineStr">
        <is>
          <t>90–81</t>
        </is>
      </c>
      <c r="H123" s="8" t="n">
        <v>7</v>
      </c>
      <c r="I123" s="8" t="n">
        <v>0</v>
      </c>
      <c r="J123" s="8">
        <f>H123&amp;"-"&amp;I123</f>
        <v/>
      </c>
      <c r="K123" s="8" t="n">
        <v>1</v>
      </c>
      <c r="L123" s="8" t="n">
        <v>0</v>
      </c>
      <c r="M123" s="8">
        <f>K123&amp;"-"&amp;L123</f>
        <v/>
      </c>
      <c r="N123" s="8">
        <f>K123+L123</f>
        <v/>
      </c>
    </row>
    <row r="124">
      <c r="A124" s="8" t="n">
        <v>2016</v>
      </c>
      <c r="B124" s="9" t="inlineStr">
        <is>
          <t>Round of 64</t>
        </is>
      </c>
      <c r="C124" s="8" t="n">
        <v>3</v>
      </c>
      <c r="D124" s="9" t="inlineStr">
        <is>
          <t>West Virginia</t>
        </is>
      </c>
      <c r="E124" s="8" t="n">
        <v>14</v>
      </c>
      <c r="F124" s="9" t="inlineStr">
        <is>
          <t>SFA</t>
        </is>
      </c>
      <c r="G124" s="8" t="inlineStr">
        <is>
          <t>70–56</t>
        </is>
      </c>
      <c r="H124" s="8" t="n">
        <v>6</v>
      </c>
      <c r="I124" s="8" t="n">
        <v>0</v>
      </c>
      <c r="J124" s="8">
        <f>H124&amp;"-"&amp;I124</f>
        <v/>
      </c>
      <c r="K124" s="8" t="n">
        <v>0</v>
      </c>
      <c r="L124" s="8" t="n">
        <v>0</v>
      </c>
      <c r="M124" s="8">
        <f>K124&amp;"-"&amp;L124</f>
        <v/>
      </c>
      <c r="N124" s="8">
        <f>K124+L124</f>
        <v/>
      </c>
    </row>
    <row r="125">
      <c r="A125" s="8" t="n">
        <v>2016</v>
      </c>
      <c r="B125" s="9" t="inlineStr">
        <is>
          <t>Round of 64</t>
        </is>
      </c>
      <c r="C125" s="8" t="n">
        <v>4</v>
      </c>
      <c r="D125" s="9" t="inlineStr">
        <is>
          <t>California</t>
        </is>
      </c>
      <c r="E125" s="8" t="n">
        <v>13</v>
      </c>
      <c r="F125" s="9" t="inlineStr">
        <is>
          <t>Hawaii</t>
        </is>
      </c>
      <c r="G125" s="8" t="inlineStr">
        <is>
          <t>77–66</t>
        </is>
      </c>
      <c r="H125" s="8" t="n">
        <v>4</v>
      </c>
      <c r="I125" s="8" t="n">
        <v>2</v>
      </c>
      <c r="J125" s="8">
        <f>H125&amp;"-"&amp;I125</f>
        <v/>
      </c>
      <c r="K125" s="8" t="n">
        <v>0</v>
      </c>
      <c r="L125" s="8" t="n">
        <v>0</v>
      </c>
      <c r="M125" s="8">
        <f>K125&amp;"-"&amp;L125</f>
        <v/>
      </c>
      <c r="N125" s="8">
        <f>K125+L125</f>
        <v/>
      </c>
    </row>
    <row r="126">
      <c r="A126" s="8" t="n">
        <v>2016</v>
      </c>
      <c r="B126" s="9" t="inlineStr">
        <is>
          <t>Round of 64</t>
        </is>
      </c>
      <c r="C126" s="8" t="n">
        <v>5</v>
      </c>
      <c r="D126" s="9" t="inlineStr">
        <is>
          <t>Purdue</t>
        </is>
      </c>
      <c r="E126" s="8" t="n">
        <v>12</v>
      </c>
      <c r="F126" s="9" t="inlineStr">
        <is>
          <t>Little Rock</t>
        </is>
      </c>
      <c r="G126" s="8" t="inlineStr">
        <is>
          <t>85–83</t>
        </is>
      </c>
      <c r="H126" s="8" t="n">
        <v>6</v>
      </c>
      <c r="I126" s="8" t="n">
        <v>0</v>
      </c>
      <c r="J126" s="8">
        <f>H126&amp;"-"&amp;I126</f>
        <v/>
      </c>
      <c r="K126" s="8" t="n">
        <v>1</v>
      </c>
      <c r="L126" s="8" t="n">
        <v>0</v>
      </c>
      <c r="M126" s="8">
        <f>K126&amp;"-"&amp;L126</f>
        <v/>
      </c>
      <c r="N126" s="8">
        <f>K126+L126</f>
        <v/>
      </c>
    </row>
    <row r="127">
      <c r="A127" s="8" t="n">
        <v>2016</v>
      </c>
      <c r="B127" s="9" t="inlineStr">
        <is>
          <t>Round of 64</t>
        </is>
      </c>
      <c r="C127" s="8" t="n">
        <v>5</v>
      </c>
      <c r="D127" s="9" t="inlineStr">
        <is>
          <t>Baylor</t>
        </is>
      </c>
      <c r="E127" s="8" t="n">
        <v>12</v>
      </c>
      <c r="F127" s="9" t="inlineStr">
        <is>
          <t>Yale</t>
        </is>
      </c>
      <c r="G127" s="8" t="inlineStr">
        <is>
          <t>79–75</t>
        </is>
      </c>
      <c r="H127" s="8" t="n">
        <v>4</v>
      </c>
      <c r="I127" s="8" t="n">
        <v>1</v>
      </c>
      <c r="J127" s="8">
        <f>H127&amp;"-"&amp;I127</f>
        <v/>
      </c>
      <c r="K127" s="8" t="n">
        <v>0</v>
      </c>
      <c r="L127" s="8" t="n">
        <v>1</v>
      </c>
      <c r="M127" s="8">
        <f>K127&amp;"-"&amp;L127</f>
        <v/>
      </c>
      <c r="N127" s="8">
        <f>K127+L127</f>
        <v/>
      </c>
    </row>
    <row r="128">
      <c r="A128" s="8" t="n">
        <v>2016</v>
      </c>
      <c r="B128" s="9" t="inlineStr">
        <is>
          <t>Round of 64</t>
        </is>
      </c>
      <c r="C128" s="8" t="n">
        <v>6</v>
      </c>
      <c r="D128" s="9" t="inlineStr">
        <is>
          <t>Seton Hall</t>
        </is>
      </c>
      <c r="E128" s="8" t="n">
        <v>11</v>
      </c>
      <c r="F128" s="9" t="inlineStr">
        <is>
          <t>Gonzaga</t>
        </is>
      </c>
      <c r="G128" s="8" t="inlineStr">
        <is>
          <t>68–52</t>
        </is>
      </c>
      <c r="H128" s="8" t="n">
        <v>5</v>
      </c>
      <c r="I128" s="8" t="n">
        <v>1</v>
      </c>
      <c r="J128" s="8">
        <f>H128&amp;"-"&amp;I128</f>
        <v/>
      </c>
      <c r="K128" s="8" t="n">
        <v>0</v>
      </c>
      <c r="L128" s="8" t="n">
        <v>0</v>
      </c>
      <c r="M128" s="8">
        <f>K128&amp;"-"&amp;L128</f>
        <v/>
      </c>
      <c r="N128" s="8">
        <f>K128+L128</f>
        <v/>
      </c>
    </row>
    <row r="129">
      <c r="A129" s="8" t="n">
        <v>2016</v>
      </c>
      <c r="B129" s="9" t="inlineStr">
        <is>
          <t>Round of 64</t>
        </is>
      </c>
      <c r="C129" s="8" t="n">
        <v>6</v>
      </c>
      <c r="D129" s="9" t="inlineStr">
        <is>
          <t>Arizona</t>
        </is>
      </c>
      <c r="E129" s="8" t="n">
        <v>11</v>
      </c>
      <c r="F129" s="9" t="inlineStr">
        <is>
          <t>Wichita St.</t>
        </is>
      </c>
      <c r="G129" s="8" t="inlineStr">
        <is>
          <t>65–55</t>
        </is>
      </c>
      <c r="H129" s="8" t="n">
        <v>6</v>
      </c>
      <c r="I129" s="8" t="n">
        <v>1</v>
      </c>
      <c r="J129" s="8">
        <f>H129&amp;"-"&amp;I129</f>
        <v/>
      </c>
      <c r="K129" s="8" t="n">
        <v>0</v>
      </c>
      <c r="L129" s="8" t="n">
        <v>0</v>
      </c>
      <c r="M129" s="8">
        <f>K129&amp;"-"&amp;L129</f>
        <v/>
      </c>
      <c r="N129" s="8">
        <f>K129+L129</f>
        <v/>
      </c>
    </row>
    <row r="130">
      <c r="A130" s="8" t="n">
        <v>2016</v>
      </c>
      <c r="B130" s="9" t="inlineStr">
        <is>
          <t>Round of 64</t>
        </is>
      </c>
      <c r="C130" s="8" t="n">
        <v>6</v>
      </c>
      <c r="D130" s="9" t="inlineStr">
        <is>
          <t>Texas</t>
        </is>
      </c>
      <c r="E130" s="8" t="n">
        <v>11</v>
      </c>
      <c r="F130" s="9" t="inlineStr">
        <is>
          <t>UNI</t>
        </is>
      </c>
      <c r="G130" s="8" t="inlineStr">
        <is>
          <t>75–72</t>
        </is>
      </c>
      <c r="H130" s="8" t="n">
        <v>2</v>
      </c>
      <c r="I130" s="8" t="n">
        <v>3</v>
      </c>
      <c r="J130" s="8">
        <f>H130&amp;"-"&amp;I130</f>
        <v/>
      </c>
      <c r="K130" s="8" t="n">
        <v>0</v>
      </c>
      <c r="L130" s="8" t="n">
        <v>2</v>
      </c>
      <c r="M130" s="8">
        <f>K130&amp;"-"&amp;L130</f>
        <v/>
      </c>
      <c r="N130" s="8">
        <f>K130+L130</f>
        <v/>
      </c>
    </row>
    <row r="131">
      <c r="A131" s="8" t="n">
        <v>2017</v>
      </c>
      <c r="B131" s="9" t="inlineStr">
        <is>
          <t>Round of 64</t>
        </is>
      </c>
      <c r="C131" s="8" t="n">
        <v>5</v>
      </c>
      <c r="D131" s="9" t="inlineStr">
        <is>
          <t>Minnesota</t>
        </is>
      </c>
      <c r="E131" s="8" t="n">
        <v>12</v>
      </c>
      <c r="F131" s="9" t="inlineStr">
        <is>
          <t>Middle Tenn.</t>
        </is>
      </c>
      <c r="G131" s="8" t="inlineStr">
        <is>
          <t>81–72</t>
        </is>
      </c>
      <c r="H131" s="8" t="n">
        <v>6</v>
      </c>
      <c r="I131" s="8" t="n">
        <v>1</v>
      </c>
      <c r="J131" s="8">
        <f>H131&amp;"-"&amp;I131</f>
        <v/>
      </c>
      <c r="K131" s="8" t="n">
        <v>0</v>
      </c>
      <c r="L131" s="8" t="n">
        <v>1</v>
      </c>
      <c r="M131" s="8">
        <f>K131&amp;"-"&amp;L131</f>
        <v/>
      </c>
      <c r="N131" s="8">
        <f>K131+L131</f>
        <v/>
      </c>
    </row>
    <row r="132">
      <c r="A132" s="8" t="n">
        <v>2017</v>
      </c>
      <c r="B132" s="9" t="inlineStr">
        <is>
          <t>Round of 64</t>
        </is>
      </c>
      <c r="C132" s="8" t="n">
        <v>6</v>
      </c>
      <c r="D132" s="9" t="inlineStr">
        <is>
          <t>Maryland</t>
        </is>
      </c>
      <c r="E132" s="8" t="n">
        <v>11</v>
      </c>
      <c r="F132" s="9" t="inlineStr">
        <is>
          <t>Xavier</t>
        </is>
      </c>
      <c r="G132" s="8" t="inlineStr">
        <is>
          <t>76–65</t>
        </is>
      </c>
      <c r="H132" s="8" t="n">
        <v>7</v>
      </c>
      <c r="I132" s="8" t="n">
        <v>1</v>
      </c>
      <c r="J132" s="8">
        <f>H132&amp;"-"&amp;I132</f>
        <v/>
      </c>
      <c r="K132" s="8" t="n">
        <v>1</v>
      </c>
      <c r="L132" s="8" t="n">
        <v>0</v>
      </c>
      <c r="M132" s="8">
        <f>K132&amp;"-"&amp;L132</f>
        <v/>
      </c>
      <c r="N132" s="8">
        <f>K132+L132</f>
        <v/>
      </c>
    </row>
    <row r="133">
      <c r="A133" s="8" t="n">
        <v>2017</v>
      </c>
      <c r="B133" s="9" t="inlineStr">
        <is>
          <t>Round of 64</t>
        </is>
      </c>
      <c r="C133" s="8" t="n">
        <v>6</v>
      </c>
      <c r="D133" s="9" t="inlineStr">
        <is>
          <t>Creighton</t>
        </is>
      </c>
      <c r="E133" s="8" t="n">
        <v>11</v>
      </c>
      <c r="F133" s="9" t="inlineStr">
        <is>
          <t>Rhode Island</t>
        </is>
      </c>
      <c r="G133" s="8" t="inlineStr">
        <is>
          <t>84–72</t>
        </is>
      </c>
      <c r="H133" s="8" t="n">
        <v>7</v>
      </c>
      <c r="I133" s="8" t="n">
        <v>0</v>
      </c>
      <c r="J133" s="8">
        <f>H133&amp;"-"&amp;I133</f>
        <v/>
      </c>
      <c r="K133" s="8" t="n">
        <v>1</v>
      </c>
      <c r="L133" s="8" t="n">
        <v>0</v>
      </c>
      <c r="M133" s="8">
        <f>K133&amp;"-"&amp;L133</f>
        <v/>
      </c>
      <c r="N133" s="8">
        <f>K133+L133</f>
        <v/>
      </c>
    </row>
    <row r="134">
      <c r="A134" s="8" t="n">
        <v>2017</v>
      </c>
      <c r="B134" s="9" t="inlineStr">
        <is>
          <t>Round of 64</t>
        </is>
      </c>
      <c r="C134" s="8" t="n">
        <v>6</v>
      </c>
      <c r="D134" s="9" t="inlineStr">
        <is>
          <t>SMU</t>
        </is>
      </c>
      <c r="E134" s="8" t="n">
        <v>11</v>
      </c>
      <c r="F134" s="9" t="inlineStr">
        <is>
          <t>Southern California</t>
        </is>
      </c>
      <c r="G134" s="8" t="inlineStr">
        <is>
          <t>66–65</t>
        </is>
      </c>
      <c r="H134" s="8" t="n">
        <v>4</v>
      </c>
      <c r="I134" s="8" t="n">
        <v>3</v>
      </c>
      <c r="J134" s="8">
        <f>H134&amp;"-"&amp;I134</f>
        <v/>
      </c>
      <c r="K134" s="8" t="n">
        <v>0</v>
      </c>
      <c r="L134" s="8" t="n">
        <v>1</v>
      </c>
      <c r="M134" s="8">
        <f>K134&amp;"-"&amp;L134</f>
        <v/>
      </c>
      <c r="N134" s="8">
        <f>K134+L134</f>
        <v/>
      </c>
    </row>
    <row r="135">
      <c r="A135" s="8" t="n">
        <v>2018</v>
      </c>
      <c r="B135" s="9" t="inlineStr">
        <is>
          <t>Round of 64</t>
        </is>
      </c>
      <c r="C135" s="8" t="n">
        <v>1</v>
      </c>
      <c r="D135" s="9" t="inlineStr">
        <is>
          <t>Virginia</t>
        </is>
      </c>
      <c r="E135" s="8" t="n">
        <v>16</v>
      </c>
      <c r="F135" s="9" t="inlineStr">
        <is>
          <t>UMBC</t>
        </is>
      </c>
      <c r="G135" s="8" t="inlineStr">
        <is>
          <t>74–54</t>
        </is>
      </c>
      <c r="H135" s="8" t="n">
        <v>7</v>
      </c>
      <c r="I135" s="8" t="n">
        <v>0</v>
      </c>
      <c r="J135" s="8">
        <f>H135&amp;"-"&amp;I135</f>
        <v/>
      </c>
      <c r="K135" s="8" t="n">
        <v>0</v>
      </c>
      <c r="L135" s="8" t="n">
        <v>0</v>
      </c>
      <c r="M135" s="8">
        <f>K135&amp;"-"&amp;L135</f>
        <v/>
      </c>
      <c r="N135" s="8">
        <f>K135+L135</f>
        <v/>
      </c>
    </row>
    <row r="136">
      <c r="A136" s="8" t="n">
        <v>2018</v>
      </c>
      <c r="B136" s="9" t="inlineStr">
        <is>
          <t>Round of 64</t>
        </is>
      </c>
      <c r="C136" s="8" t="n">
        <v>4</v>
      </c>
      <c r="D136" s="9" t="inlineStr">
        <is>
          <t>Arizona</t>
        </is>
      </c>
      <c r="E136" s="8" t="n">
        <v>13</v>
      </c>
      <c r="F136" s="9" t="inlineStr">
        <is>
          <t>Buffalo</t>
        </is>
      </c>
      <c r="G136" s="8" t="inlineStr">
        <is>
          <t>89–68</t>
        </is>
      </c>
      <c r="H136" s="8" t="n">
        <v>4</v>
      </c>
      <c r="I136" s="8" t="n">
        <v>3</v>
      </c>
      <c r="J136" s="8">
        <f>H136&amp;"-"&amp;I136</f>
        <v/>
      </c>
      <c r="K136" s="8" t="n">
        <v>0</v>
      </c>
      <c r="L136" s="8" t="n">
        <v>2</v>
      </c>
      <c r="M136" s="8">
        <f>K136&amp;"-"&amp;L136</f>
        <v/>
      </c>
      <c r="N136" s="8">
        <f>K136+L136</f>
        <v/>
      </c>
    </row>
    <row r="137">
      <c r="A137" s="8" t="n">
        <v>2018</v>
      </c>
      <c r="B137" s="9" t="inlineStr">
        <is>
          <t>Round of 64</t>
        </is>
      </c>
      <c r="C137" s="8" t="n">
        <v>4</v>
      </c>
      <c r="D137" s="9" t="inlineStr">
        <is>
          <t>Wichita St.</t>
        </is>
      </c>
      <c r="E137" s="8" t="n">
        <v>13</v>
      </c>
      <c r="F137" s="9" t="inlineStr">
        <is>
          <t>Marshall</t>
        </is>
      </c>
      <c r="G137" s="8" t="inlineStr">
        <is>
          <t>81–75</t>
        </is>
      </c>
      <c r="H137" s="8" t="n">
        <v>5</v>
      </c>
      <c r="I137" s="8" t="n">
        <v>1</v>
      </c>
      <c r="J137" s="8">
        <f>H137&amp;"-"&amp;I137</f>
        <v/>
      </c>
      <c r="K137" s="8" t="n">
        <v>0</v>
      </c>
      <c r="L137" s="8" t="n">
        <v>1</v>
      </c>
      <c r="M137" s="8">
        <f>K137&amp;"-"&amp;L137</f>
        <v/>
      </c>
      <c r="N137" s="8">
        <f>K137+L137</f>
        <v/>
      </c>
    </row>
    <row r="138">
      <c r="A138" s="8" t="n">
        <v>2018</v>
      </c>
      <c r="B138" s="9" t="inlineStr">
        <is>
          <t>Round of 64</t>
        </is>
      </c>
      <c r="C138" s="8" t="n">
        <v>6</v>
      </c>
      <c r="D138" s="9" t="inlineStr">
        <is>
          <t>Miami (FL)</t>
        </is>
      </c>
      <c r="E138" s="8" t="n">
        <v>11</v>
      </c>
      <c r="F138" s="9" t="inlineStr">
        <is>
          <t>Loyola Chicago</t>
        </is>
      </c>
      <c r="G138" s="8" t="inlineStr">
        <is>
          <t>64–62</t>
        </is>
      </c>
      <c r="H138" s="8" t="n">
        <v>6</v>
      </c>
      <c r="I138" s="8" t="n">
        <v>0</v>
      </c>
      <c r="J138" s="8">
        <f>H138&amp;"-"&amp;I138</f>
        <v/>
      </c>
      <c r="K138" s="8" t="n">
        <v>0</v>
      </c>
      <c r="L138" s="8" t="n">
        <v>0</v>
      </c>
      <c r="M138" s="8">
        <f>K138&amp;"-"&amp;L138</f>
        <v/>
      </c>
      <c r="N138" s="8">
        <f>K138+L138</f>
        <v/>
      </c>
    </row>
    <row r="139">
      <c r="A139" s="8" t="n">
        <v>2018</v>
      </c>
      <c r="B139" s="9" t="inlineStr">
        <is>
          <t>Round of 64</t>
        </is>
      </c>
      <c r="C139" s="8" t="n">
        <v>6</v>
      </c>
      <c r="D139" s="9" t="inlineStr">
        <is>
          <t>TCU</t>
        </is>
      </c>
      <c r="E139" s="8" t="n">
        <v>11</v>
      </c>
      <c r="F139" s="9" t="inlineStr">
        <is>
          <t>Syracuse</t>
        </is>
      </c>
      <c r="G139" s="8" t="inlineStr">
        <is>
          <t>57–52</t>
        </is>
      </c>
      <c r="H139" s="8" t="n">
        <v>7</v>
      </c>
      <c r="I139" s="8" t="n">
        <v>0</v>
      </c>
      <c r="J139" s="8">
        <f>H139&amp;"-"&amp;I139</f>
        <v/>
      </c>
      <c r="K139" s="8" t="n">
        <v>0</v>
      </c>
      <c r="L139" s="8" t="n">
        <v>0</v>
      </c>
      <c r="M139" s="8">
        <f>K139&amp;"-"&amp;L139</f>
        <v/>
      </c>
      <c r="N139" s="8">
        <f>K139+L139</f>
        <v/>
      </c>
    </row>
    <row r="140">
      <c r="A140" s="8" t="n">
        <v>2019</v>
      </c>
      <c r="B140" s="9" t="inlineStr">
        <is>
          <t>Round of 64</t>
        </is>
      </c>
      <c r="C140" s="8" t="n">
        <v>4</v>
      </c>
      <c r="D140" s="9" t="inlineStr">
        <is>
          <t>Kansas St.</t>
        </is>
      </c>
      <c r="E140" s="8" t="n">
        <v>13</v>
      </c>
      <c r="F140" s="9" t="inlineStr">
        <is>
          <t>UC Irvine</t>
        </is>
      </c>
      <c r="G140" s="8" t="inlineStr">
        <is>
          <t>70–64</t>
        </is>
      </c>
      <c r="H140" s="8" t="n">
        <v>6</v>
      </c>
      <c r="I140" s="8" t="n">
        <v>0</v>
      </c>
      <c r="J140" s="8">
        <f>H140&amp;"-"&amp;I140</f>
        <v/>
      </c>
      <c r="K140" s="8" t="n">
        <v>0</v>
      </c>
      <c r="L140" s="8" t="n">
        <v>0</v>
      </c>
      <c r="M140" s="8">
        <f>K140&amp;"-"&amp;L140</f>
        <v/>
      </c>
      <c r="N140" s="8">
        <f>K140+L140</f>
        <v/>
      </c>
    </row>
    <row r="141">
      <c r="A141" s="8" t="n">
        <v>2019</v>
      </c>
      <c r="B141" s="9" t="inlineStr">
        <is>
          <t>Round of 64</t>
        </is>
      </c>
      <c r="C141" s="8" t="n">
        <v>5</v>
      </c>
      <c r="D141" s="9" t="inlineStr">
        <is>
          <t>Marquette</t>
        </is>
      </c>
      <c r="E141" s="8" t="n">
        <v>12</v>
      </c>
      <c r="F141" s="9" t="inlineStr">
        <is>
          <t>Murray St.</t>
        </is>
      </c>
      <c r="G141" s="8" t="inlineStr">
        <is>
          <t>83–64</t>
        </is>
      </c>
      <c r="H141" s="8" t="n">
        <v>5</v>
      </c>
      <c r="I141" s="8" t="n">
        <v>2</v>
      </c>
      <c r="J141" s="8">
        <f>H141&amp;"-"&amp;I141</f>
        <v/>
      </c>
      <c r="K141" s="8" t="n">
        <v>1</v>
      </c>
      <c r="L141" s="8" t="n">
        <v>2</v>
      </c>
      <c r="M141" s="8">
        <f>K141&amp;"-"&amp;L141</f>
        <v/>
      </c>
      <c r="N141" s="8">
        <f>K141+L141</f>
        <v/>
      </c>
    </row>
    <row r="142">
      <c r="A142" s="8" t="n">
        <v>2019</v>
      </c>
      <c r="B142" s="9" t="inlineStr">
        <is>
          <t>Round of 64</t>
        </is>
      </c>
      <c r="C142" s="8" t="n">
        <v>5</v>
      </c>
      <c r="D142" s="9" t="inlineStr">
        <is>
          <t>Mississippi St.</t>
        </is>
      </c>
      <c r="E142" s="8" t="n">
        <v>12</v>
      </c>
      <c r="F142" s="9" t="inlineStr">
        <is>
          <t>Liberty</t>
        </is>
      </c>
      <c r="G142" s="8" t="inlineStr">
        <is>
          <t>80–76</t>
        </is>
      </c>
      <c r="H142" s="8" t="n">
        <v>6</v>
      </c>
      <c r="I142" s="8" t="n">
        <v>1</v>
      </c>
      <c r="J142" s="8">
        <f>H142&amp;"-"&amp;I142</f>
        <v/>
      </c>
      <c r="K142" s="8" t="n">
        <v>1</v>
      </c>
      <c r="L142" s="8" t="n">
        <v>0</v>
      </c>
      <c r="M142" s="8">
        <f>K142&amp;"-"&amp;L142</f>
        <v/>
      </c>
      <c r="N142" s="8">
        <f>K142+L142</f>
        <v/>
      </c>
    </row>
    <row r="143">
      <c r="A143" s="8" t="n">
        <v>2019</v>
      </c>
      <c r="B143" s="9" t="inlineStr">
        <is>
          <t>Round of 64</t>
        </is>
      </c>
      <c r="C143" s="8" t="n">
        <v>5</v>
      </c>
      <c r="D143" s="9" t="inlineStr">
        <is>
          <t>Wisconsin</t>
        </is>
      </c>
      <c r="E143" s="8" t="n">
        <v>12</v>
      </c>
      <c r="F143" s="9" t="inlineStr">
        <is>
          <t>Oregon</t>
        </is>
      </c>
      <c r="G143" s="8" t="inlineStr">
        <is>
          <t>72–54</t>
        </is>
      </c>
      <c r="H143" s="8" t="n">
        <v>7</v>
      </c>
      <c r="I143" s="8" t="n">
        <v>1</v>
      </c>
      <c r="J143" s="8">
        <f>H143&amp;"-"&amp;I143</f>
        <v/>
      </c>
      <c r="K143" s="8" t="n">
        <v>3</v>
      </c>
      <c r="L143" s="8" t="n">
        <v>1</v>
      </c>
      <c r="M143" s="8">
        <f>K143&amp;"-"&amp;L143</f>
        <v/>
      </c>
      <c r="N143" s="8">
        <f>K143+L143</f>
        <v/>
      </c>
    </row>
    <row r="144">
      <c r="A144" s="8" t="n">
        <v>2019</v>
      </c>
      <c r="B144" s="9" t="inlineStr">
        <is>
          <t>Round of 64</t>
        </is>
      </c>
      <c r="C144" s="8" t="n">
        <v>6</v>
      </c>
      <c r="D144" s="9" t="inlineStr">
        <is>
          <t>Iowa St.</t>
        </is>
      </c>
      <c r="E144" s="8" t="n">
        <v>11</v>
      </c>
      <c r="F144" s="9" t="inlineStr">
        <is>
          <t>Ohio St.</t>
        </is>
      </c>
      <c r="G144" s="8" t="inlineStr">
        <is>
          <t>62–59</t>
        </is>
      </c>
      <c r="H144" s="8" t="n">
        <v>6</v>
      </c>
      <c r="I144" s="8" t="n">
        <v>1</v>
      </c>
      <c r="J144" s="8">
        <f>H144&amp;"-"&amp;I144</f>
        <v/>
      </c>
      <c r="K144" s="8" t="n">
        <v>0</v>
      </c>
      <c r="L144" s="8" t="n">
        <v>0</v>
      </c>
      <c r="M144" s="8">
        <f>K144&amp;"-"&amp;L144</f>
        <v/>
      </c>
      <c r="N144" s="8">
        <f>K144+L144</f>
        <v/>
      </c>
    </row>
    <row r="145">
      <c r="A145" s="8" t="n">
        <v>2021</v>
      </c>
      <c r="B145" s="9" t="inlineStr">
        <is>
          <t>Round of 64</t>
        </is>
      </c>
      <c r="C145" s="8" t="n">
        <v>2</v>
      </c>
      <c r="D145" s="9" t="inlineStr">
        <is>
          <t>Ohio St.</t>
        </is>
      </c>
      <c r="E145" s="8" t="n">
        <v>15</v>
      </c>
      <c r="F145" s="9" t="inlineStr">
        <is>
          <t>Oral Roberts</t>
        </is>
      </c>
      <c r="G145" s="8" t="inlineStr">
        <is>
          <t>75–72</t>
        </is>
      </c>
      <c r="H145" s="8" t="n">
        <v>2</v>
      </c>
      <c r="I145" s="8" t="n">
        <v>0</v>
      </c>
      <c r="J145" s="8">
        <f>H145&amp;"-"&amp;I145</f>
        <v/>
      </c>
      <c r="K145" s="8" t="n">
        <v>0</v>
      </c>
      <c r="L145" s="8" t="n">
        <v>0</v>
      </c>
      <c r="M145" s="8">
        <f>K145&amp;"-"&amp;L145</f>
        <v/>
      </c>
      <c r="N145" s="8">
        <f>K145+L145</f>
        <v/>
      </c>
    </row>
    <row r="146">
      <c r="A146" s="8" t="n">
        <v>2021</v>
      </c>
      <c r="B146" s="9" t="inlineStr">
        <is>
          <t>Round of 64</t>
        </is>
      </c>
      <c r="C146" s="8" t="n">
        <v>3</v>
      </c>
      <c r="D146" s="9" t="inlineStr">
        <is>
          <t>Texas</t>
        </is>
      </c>
      <c r="E146" s="8" t="n">
        <v>14</v>
      </c>
      <c r="F146" s="9" t="inlineStr">
        <is>
          <t>Abilene Christian</t>
        </is>
      </c>
      <c r="G146" s="8" t="inlineStr">
        <is>
          <t>53–52</t>
        </is>
      </c>
      <c r="H146" s="8" t="n">
        <v>2</v>
      </c>
      <c r="I146" s="8" t="n">
        <v>0</v>
      </c>
      <c r="J146" s="8">
        <f>H146&amp;"-"&amp;I146</f>
        <v/>
      </c>
      <c r="K146" s="8" t="n">
        <v>0</v>
      </c>
      <c r="L146" s="8" t="n">
        <v>0</v>
      </c>
      <c r="M146" s="8">
        <f>K146&amp;"-"&amp;L146</f>
        <v/>
      </c>
      <c r="N146" s="8">
        <f>K146+L146</f>
        <v/>
      </c>
    </row>
    <row r="147">
      <c r="A147" s="8" t="n">
        <v>2021</v>
      </c>
      <c r="B147" s="9" t="inlineStr">
        <is>
          <t>Round of 64</t>
        </is>
      </c>
      <c r="C147" s="8" t="n">
        <v>4</v>
      </c>
      <c r="D147" s="9" t="inlineStr">
        <is>
          <t>Purdue</t>
        </is>
      </c>
      <c r="E147" s="8" t="n">
        <v>13</v>
      </c>
      <c r="F147" s="9" t="inlineStr">
        <is>
          <t>North Texas</t>
        </is>
      </c>
      <c r="G147" s="8" t="inlineStr">
        <is>
          <t>78–69</t>
        </is>
      </c>
      <c r="H147" s="8" t="n">
        <v>1</v>
      </c>
      <c r="I147" s="8" t="n">
        <v>1</v>
      </c>
      <c r="J147" s="8">
        <f>H147&amp;"-"&amp;I147</f>
        <v/>
      </c>
      <c r="K147" s="8" t="n">
        <v>0</v>
      </c>
      <c r="L147" s="8" t="n">
        <v>1</v>
      </c>
      <c r="M147" s="8">
        <f>K147&amp;"-"&amp;L147</f>
        <v/>
      </c>
      <c r="N147" s="8">
        <f>K147+L147</f>
        <v/>
      </c>
    </row>
    <row r="148">
      <c r="A148" s="8" t="n">
        <v>2021</v>
      </c>
      <c r="B148" s="9" t="inlineStr">
        <is>
          <t>Round of 64</t>
        </is>
      </c>
      <c r="C148" s="8" t="n">
        <v>4</v>
      </c>
      <c r="D148" s="9" t="inlineStr">
        <is>
          <t>Virginia</t>
        </is>
      </c>
      <c r="E148" s="8" t="n">
        <v>13</v>
      </c>
      <c r="F148" s="9" t="inlineStr">
        <is>
          <t>Ohio</t>
        </is>
      </c>
      <c r="G148" s="8" t="inlineStr">
        <is>
          <t>62–58</t>
        </is>
      </c>
      <c r="H148" s="8" t="n">
        <v>1</v>
      </c>
      <c r="I148" s="8" t="n">
        <v>1</v>
      </c>
      <c r="J148" s="8">
        <f>H148&amp;"-"&amp;I148</f>
        <v/>
      </c>
      <c r="K148" s="8" t="n">
        <v>0</v>
      </c>
      <c r="L148" s="8" t="n">
        <v>0</v>
      </c>
      <c r="M148" s="8">
        <f>K148&amp;"-"&amp;L148</f>
        <v/>
      </c>
      <c r="N148" s="8">
        <f>K148+L148</f>
        <v/>
      </c>
    </row>
    <row r="149">
      <c r="A149" s="8" t="n">
        <v>2021</v>
      </c>
      <c r="B149" s="9" t="inlineStr">
        <is>
          <t>Round of 64</t>
        </is>
      </c>
      <c r="C149" s="8" t="n">
        <v>5</v>
      </c>
      <c r="D149" s="9" t="inlineStr">
        <is>
          <t>Tennessee</t>
        </is>
      </c>
      <c r="E149" s="8" t="n">
        <v>12</v>
      </c>
      <c r="F149" s="9" t="inlineStr">
        <is>
          <t>Oregon St.</t>
        </is>
      </c>
      <c r="G149" s="8" t="inlineStr">
        <is>
          <t>70–56</t>
        </is>
      </c>
      <c r="H149" s="8" t="n">
        <v>0</v>
      </c>
      <c r="I149" s="8" t="n">
        <v>0</v>
      </c>
      <c r="J149" s="8">
        <f>H149&amp;"-"&amp;I149</f>
        <v/>
      </c>
      <c r="K149" s="8" t="n">
        <v>0</v>
      </c>
      <c r="L149" s="8" t="n">
        <v>0</v>
      </c>
      <c r="M149" s="8">
        <f>K149&amp;"-"&amp;L149</f>
        <v/>
      </c>
      <c r="N149" s="8">
        <f>K149+L149</f>
        <v/>
      </c>
    </row>
    <row r="150">
      <c r="A150" s="8" t="n">
        <v>2021</v>
      </c>
      <c r="B150" s="9" t="inlineStr">
        <is>
          <t>Round of 64</t>
        </is>
      </c>
      <c r="C150" s="8" t="n">
        <v>6</v>
      </c>
      <c r="D150" s="9" t="inlineStr">
        <is>
          <t>San Diego St.</t>
        </is>
      </c>
      <c r="E150" s="8" t="n">
        <v>11</v>
      </c>
      <c r="F150" s="9" t="inlineStr">
        <is>
          <t>Syracuse</t>
        </is>
      </c>
      <c r="G150" s="8" t="inlineStr">
        <is>
          <t>78–62</t>
        </is>
      </c>
      <c r="H150" s="8" t="n">
        <v>2</v>
      </c>
      <c r="I150" s="8" t="n">
        <v>0</v>
      </c>
      <c r="J150" s="8">
        <f>H150&amp;"-"&amp;I150</f>
        <v/>
      </c>
      <c r="K150" s="8" t="n">
        <v>1</v>
      </c>
      <c r="L150" s="8" t="n">
        <v>0</v>
      </c>
      <c r="M150" s="8">
        <f>K150&amp;"-"&amp;L150</f>
        <v/>
      </c>
      <c r="N150" s="8">
        <f>K150+L150</f>
        <v/>
      </c>
    </row>
    <row r="151">
      <c r="A151" s="8" t="n">
        <v>2021</v>
      </c>
      <c r="B151" s="9" t="inlineStr">
        <is>
          <t>Round of 64</t>
        </is>
      </c>
      <c r="C151" s="8" t="n">
        <v>6</v>
      </c>
      <c r="D151" s="9" t="inlineStr">
        <is>
          <t>BYU</t>
        </is>
      </c>
      <c r="E151" s="8" t="n">
        <v>11</v>
      </c>
      <c r="F151" s="9" t="inlineStr">
        <is>
          <t>UCLA</t>
        </is>
      </c>
      <c r="G151" s="8" t="inlineStr">
        <is>
          <t>73–62</t>
        </is>
      </c>
      <c r="H151" s="8" t="n">
        <v>3</v>
      </c>
      <c r="I151" s="8" t="n">
        <v>0</v>
      </c>
      <c r="J151" s="8">
        <f>H151&amp;"-"&amp;I151</f>
        <v/>
      </c>
      <c r="K151" s="8" t="n">
        <v>0</v>
      </c>
      <c r="L151" s="8" t="n">
        <v>0</v>
      </c>
      <c r="M151" s="8">
        <f>K151&amp;"-"&amp;L151</f>
        <v/>
      </c>
      <c r="N151" s="8">
        <f>K151+L151</f>
        <v/>
      </c>
    </row>
    <row r="152">
      <c r="A152" s="8" t="n">
        <v>2022</v>
      </c>
      <c r="B152" s="9" t="inlineStr">
        <is>
          <t>Round of 64</t>
        </is>
      </c>
      <c r="C152" s="8" t="n">
        <v>2</v>
      </c>
      <c r="D152" s="9" t="inlineStr">
        <is>
          <t>Kentucky</t>
        </is>
      </c>
      <c r="E152" s="8" t="n">
        <v>15</v>
      </c>
      <c r="F152" s="9" t="inlineStr">
        <is>
          <t>Saint Peter's</t>
        </is>
      </c>
      <c r="G152" s="8" t="inlineStr">
        <is>
          <t>85–79</t>
        </is>
      </c>
      <c r="H152" s="8" t="n">
        <v>6</v>
      </c>
      <c r="I152" s="8" t="n">
        <v>1</v>
      </c>
      <c r="J152" s="8">
        <f>H152&amp;"-"&amp;I152</f>
        <v/>
      </c>
      <c r="K152" s="8" t="n">
        <v>0</v>
      </c>
      <c r="L152" s="8" t="n">
        <v>1</v>
      </c>
      <c r="M152" s="8">
        <f>K152&amp;"-"&amp;L152</f>
        <v/>
      </c>
      <c r="N152" s="8">
        <f>K152+L152</f>
        <v/>
      </c>
    </row>
    <row r="153">
      <c r="A153" s="8" t="n">
        <v>2022</v>
      </c>
      <c r="B153" s="9" t="inlineStr">
        <is>
          <t>Round of 64</t>
        </is>
      </c>
      <c r="C153" s="8" t="n">
        <v>5</v>
      </c>
      <c r="D153" s="9" t="inlineStr">
        <is>
          <t>UConn</t>
        </is>
      </c>
      <c r="E153" s="8" t="n">
        <v>12</v>
      </c>
      <c r="F153" s="9" t="inlineStr">
        <is>
          <t>New Mexico St.</t>
        </is>
      </c>
      <c r="G153" s="8" t="inlineStr">
        <is>
          <t>70–63</t>
        </is>
      </c>
      <c r="H153" s="8" t="n">
        <v>7</v>
      </c>
      <c r="I153" s="8" t="n">
        <v>1</v>
      </c>
      <c r="J153" s="8">
        <f>H153&amp;"-"&amp;I153</f>
        <v/>
      </c>
      <c r="K153" s="8" t="n">
        <v>1</v>
      </c>
      <c r="L153" s="8" t="n">
        <v>1</v>
      </c>
      <c r="M153" s="8">
        <f>K153&amp;"-"&amp;L153</f>
        <v/>
      </c>
      <c r="N153" s="8">
        <f>K153+L153</f>
        <v/>
      </c>
    </row>
    <row r="154">
      <c r="A154" s="8" t="n">
        <v>2022</v>
      </c>
      <c r="B154" s="9" t="inlineStr">
        <is>
          <t>Round of 64</t>
        </is>
      </c>
      <c r="C154" s="8" t="n">
        <v>5</v>
      </c>
      <c r="D154" s="9" t="inlineStr">
        <is>
          <t>Iowa</t>
        </is>
      </c>
      <c r="E154" s="8" t="n">
        <v>12</v>
      </c>
      <c r="F154" s="9" t="inlineStr">
        <is>
          <t>Richmond</t>
        </is>
      </c>
      <c r="G154" s="8" t="inlineStr">
        <is>
          <t>67–63</t>
        </is>
      </c>
      <c r="H154" s="8" t="n">
        <v>7</v>
      </c>
      <c r="I154" s="8" t="n">
        <v>0</v>
      </c>
      <c r="J154" s="8">
        <f>H154&amp;"-"&amp;I154</f>
        <v/>
      </c>
      <c r="K154" s="8" t="n">
        <v>0</v>
      </c>
      <c r="L154" s="8" t="n">
        <v>0</v>
      </c>
      <c r="M154" s="8">
        <f>K154&amp;"-"&amp;L154</f>
        <v/>
      </c>
      <c r="N154" s="8">
        <f>K154+L154</f>
        <v/>
      </c>
    </row>
    <row r="155">
      <c r="A155" s="8" t="n">
        <v>2022</v>
      </c>
      <c r="B155" s="9" t="inlineStr">
        <is>
          <t>Round of 64</t>
        </is>
      </c>
      <c r="C155" s="8" t="n">
        <v>6</v>
      </c>
      <c r="D155" s="9" t="inlineStr">
        <is>
          <t>Colorado St.</t>
        </is>
      </c>
      <c r="E155" s="8" t="n">
        <v>11</v>
      </c>
      <c r="F155" s="9" t="inlineStr">
        <is>
          <t>Michigan</t>
        </is>
      </c>
      <c r="G155" s="8" t="inlineStr">
        <is>
          <t>75–63</t>
        </is>
      </c>
      <c r="H155" s="8" t="n">
        <v>7</v>
      </c>
      <c r="I155" s="8" t="n">
        <v>0</v>
      </c>
      <c r="J155" s="8">
        <f>H155&amp;"-"&amp;I155</f>
        <v/>
      </c>
      <c r="K155" s="8" t="n">
        <v>0</v>
      </c>
      <c r="L155" s="8" t="n">
        <v>0</v>
      </c>
      <c r="M155" s="8">
        <f>K155&amp;"-"&amp;L155</f>
        <v/>
      </c>
      <c r="N155" s="8">
        <f>K155+L155</f>
        <v/>
      </c>
    </row>
    <row r="156">
      <c r="A156" s="8" t="n">
        <v>2022</v>
      </c>
      <c r="B156" s="9" t="inlineStr">
        <is>
          <t>Round of 64</t>
        </is>
      </c>
      <c r="C156" s="8" t="n">
        <v>6</v>
      </c>
      <c r="D156" s="9" t="inlineStr">
        <is>
          <t>LSU</t>
        </is>
      </c>
      <c r="E156" s="8" t="n">
        <v>11</v>
      </c>
      <c r="F156" s="9" t="inlineStr">
        <is>
          <t>Iowa St.</t>
        </is>
      </c>
      <c r="G156" s="8" t="inlineStr">
        <is>
          <t>59–54</t>
        </is>
      </c>
      <c r="H156" s="8" t="n">
        <v>7</v>
      </c>
      <c r="I156" s="8" t="n">
        <v>0</v>
      </c>
      <c r="J156" s="8">
        <f>H156&amp;"-"&amp;I156</f>
        <v/>
      </c>
      <c r="K156" s="8" t="n">
        <v>0</v>
      </c>
      <c r="L156" s="8" t="n">
        <v>0</v>
      </c>
      <c r="M156" s="8">
        <f>K156&amp;"-"&amp;L156</f>
        <v/>
      </c>
      <c r="N156" s="8">
        <f>K156+L156</f>
        <v/>
      </c>
    </row>
    <row r="157">
      <c r="A157" s="8" t="n">
        <v>2022</v>
      </c>
      <c r="B157" s="9" t="inlineStr">
        <is>
          <t>Round of 64</t>
        </is>
      </c>
      <c r="C157" s="8" t="n">
        <v>6</v>
      </c>
      <c r="D157" s="9" t="inlineStr">
        <is>
          <t>Alabama</t>
        </is>
      </c>
      <c r="E157" s="8" t="n">
        <v>11</v>
      </c>
      <c r="F157" s="9" t="inlineStr">
        <is>
          <t>Notre Dame</t>
        </is>
      </c>
      <c r="G157" s="8" t="inlineStr">
        <is>
          <t>78–64</t>
        </is>
      </c>
      <c r="H157" s="8" t="n">
        <v>6</v>
      </c>
      <c r="I157" s="8" t="n">
        <v>1</v>
      </c>
      <c r="J157" s="8">
        <f>H157&amp;"-"&amp;I157</f>
        <v/>
      </c>
      <c r="K157" s="8" t="n">
        <v>0</v>
      </c>
      <c r="L157" s="8" t="n">
        <v>0</v>
      </c>
      <c r="M157" s="8">
        <f>K157&amp;"-"&amp;L157</f>
        <v/>
      </c>
      <c r="N157" s="8">
        <f>K157+L157</f>
        <v/>
      </c>
    </row>
    <row r="158">
      <c r="A158" s="8" t="n">
        <v>2023</v>
      </c>
      <c r="B158" s="9" t="inlineStr">
        <is>
          <t>Round of 64</t>
        </is>
      </c>
      <c r="C158" s="8" t="n">
        <v>1</v>
      </c>
      <c r="D158" s="9" t="inlineStr">
        <is>
          <t>Purdue</t>
        </is>
      </c>
      <c r="E158" s="8" t="n">
        <v>16</v>
      </c>
      <c r="F158" s="9" t="inlineStr">
        <is>
          <t>FDU</t>
        </is>
      </c>
      <c r="G158" s="8" t="inlineStr">
        <is>
          <t>63–58</t>
        </is>
      </c>
      <c r="H158" s="8" t="n">
        <v>7</v>
      </c>
      <c r="I158" s="8" t="n">
        <v>0</v>
      </c>
      <c r="J158" s="8">
        <f>H158&amp;"-"&amp;I158</f>
        <v/>
      </c>
      <c r="K158" s="8" t="n">
        <v>4</v>
      </c>
      <c r="L158" s="8" t="n">
        <v>0</v>
      </c>
      <c r="M158" s="8">
        <f>K158&amp;"-"&amp;L158</f>
        <v/>
      </c>
      <c r="N158" s="8">
        <f>K158+L158</f>
        <v/>
      </c>
    </row>
    <row r="159">
      <c r="A159" s="8" t="n">
        <v>2023</v>
      </c>
      <c r="B159" s="9" t="inlineStr">
        <is>
          <t>Round of 64</t>
        </is>
      </c>
      <c r="C159" s="8" t="n">
        <v>2</v>
      </c>
      <c r="D159" s="9" t="inlineStr">
        <is>
          <t>Arizona</t>
        </is>
      </c>
      <c r="E159" s="8" t="n">
        <v>15</v>
      </c>
      <c r="F159" s="9" t="inlineStr">
        <is>
          <t>Princeton</t>
        </is>
      </c>
      <c r="G159" s="8" t="inlineStr">
        <is>
          <t>59–55</t>
        </is>
      </c>
      <c r="H159" s="8" t="n">
        <v>6</v>
      </c>
      <c r="I159" s="8" t="n">
        <v>0</v>
      </c>
      <c r="J159" s="8">
        <f>H159&amp;"-"&amp;I159</f>
        <v/>
      </c>
      <c r="K159" s="8" t="n">
        <v>2</v>
      </c>
      <c r="L159" s="8" t="n">
        <v>0</v>
      </c>
      <c r="M159" s="8">
        <f>K159&amp;"-"&amp;L159</f>
        <v/>
      </c>
      <c r="N159" s="8">
        <f>K159+L159</f>
        <v/>
      </c>
    </row>
    <row r="160">
      <c r="A160" s="8" t="n">
        <v>2023</v>
      </c>
      <c r="B160" s="9" t="inlineStr">
        <is>
          <t>Round of 64</t>
        </is>
      </c>
      <c r="C160" s="8" t="n">
        <v>4</v>
      </c>
      <c r="D160" s="9" t="inlineStr">
        <is>
          <t>Virginia</t>
        </is>
      </c>
      <c r="E160" s="8" t="n">
        <v>13</v>
      </c>
      <c r="F160" s="9" t="inlineStr">
        <is>
          <t>Furman</t>
        </is>
      </c>
      <c r="G160" s="8" t="inlineStr">
        <is>
          <t>68–67</t>
        </is>
      </c>
      <c r="H160" s="8" t="n">
        <v>6</v>
      </c>
      <c r="I160" s="8" t="n">
        <v>0</v>
      </c>
      <c r="J160" s="8">
        <f>H160&amp;"-"&amp;I160</f>
        <v/>
      </c>
      <c r="K160" s="8" t="n">
        <v>2</v>
      </c>
      <c r="L160" s="8" t="n">
        <v>0</v>
      </c>
      <c r="M160" s="8">
        <f>K160&amp;"-"&amp;L160</f>
        <v/>
      </c>
      <c r="N160" s="8">
        <f>K160+L160</f>
        <v/>
      </c>
    </row>
    <row r="161">
      <c r="A161" s="8" t="n">
        <v>2023</v>
      </c>
      <c r="B161" s="9" t="inlineStr">
        <is>
          <t>Round of 64</t>
        </is>
      </c>
      <c r="C161" s="8" t="n">
        <v>6</v>
      </c>
      <c r="D161" s="9" t="inlineStr">
        <is>
          <t>Iowa St.</t>
        </is>
      </c>
      <c r="E161" s="8" t="n">
        <v>11</v>
      </c>
      <c r="F161" s="9" t="inlineStr">
        <is>
          <t>Pittsburgh</t>
        </is>
      </c>
      <c r="G161" s="8" t="inlineStr">
        <is>
          <t>59–41</t>
        </is>
      </c>
      <c r="H161" s="8" t="n">
        <v>6</v>
      </c>
      <c r="I161" s="8" t="n">
        <v>1</v>
      </c>
      <c r="J161" s="8">
        <f>H161&amp;"-"&amp;I161</f>
        <v/>
      </c>
      <c r="K161" s="8" t="n">
        <v>1</v>
      </c>
      <c r="L161" s="8" t="n">
        <v>1</v>
      </c>
      <c r="M161" s="8">
        <f>K161&amp;"-"&amp;L161</f>
        <v/>
      </c>
      <c r="N161" s="8">
        <f>K161+L161</f>
        <v/>
      </c>
    </row>
    <row r="162">
      <c r="A162" s="8" t="n">
        <v>2024</v>
      </c>
      <c r="B162" s="9" t="inlineStr">
        <is>
          <t>Round of 64</t>
        </is>
      </c>
      <c r="C162" s="8" t="n">
        <v>3</v>
      </c>
      <c r="D162" s="9" t="inlineStr">
        <is>
          <t>Kentucky</t>
        </is>
      </c>
      <c r="E162" s="8" t="n">
        <v>14</v>
      </c>
      <c r="F162" s="9" t="inlineStr">
        <is>
          <t>Oakland</t>
        </is>
      </c>
      <c r="G162" s="8" t="inlineStr">
        <is>
          <t>80–76</t>
        </is>
      </c>
      <c r="H162" s="8" t="n">
        <v>6</v>
      </c>
      <c r="I162" s="8" t="n">
        <v>1</v>
      </c>
      <c r="J162" s="8">
        <f>H162&amp;"-"&amp;I162</f>
        <v/>
      </c>
      <c r="K162" s="8" t="n">
        <v>0</v>
      </c>
      <c r="L162" s="8" t="n">
        <v>1</v>
      </c>
      <c r="M162" s="8">
        <f>K162&amp;"-"&amp;L162</f>
        <v/>
      </c>
      <c r="N162" s="8">
        <f>K162+L162</f>
        <v/>
      </c>
    </row>
    <row r="163">
      <c r="A163" s="8" t="n">
        <v>2024</v>
      </c>
      <c r="B163" s="9" t="inlineStr">
        <is>
          <t>Round of 64</t>
        </is>
      </c>
      <c r="C163" s="8" t="n">
        <v>4</v>
      </c>
      <c r="D163" s="9" t="inlineStr">
        <is>
          <t>Auburn</t>
        </is>
      </c>
      <c r="E163" s="8" t="n">
        <v>13</v>
      </c>
      <c r="F163" s="9" t="inlineStr">
        <is>
          <t>Yale</t>
        </is>
      </c>
      <c r="G163" s="8" t="inlineStr">
        <is>
          <t>78–76</t>
        </is>
      </c>
      <c r="H163" s="8" t="n">
        <v>5</v>
      </c>
      <c r="I163" s="8" t="n">
        <v>1</v>
      </c>
      <c r="J163" s="8">
        <f>H163&amp;"-"&amp;I163</f>
        <v/>
      </c>
      <c r="K163" s="8" t="n">
        <v>0</v>
      </c>
      <c r="L163" s="8" t="n">
        <v>1</v>
      </c>
      <c r="M163" s="8">
        <f>K163&amp;"-"&amp;L163</f>
        <v/>
      </c>
      <c r="N163" s="8">
        <f>K163+L163</f>
        <v/>
      </c>
    </row>
    <row r="164">
      <c r="A164" s="8" t="n">
        <v>2024</v>
      </c>
      <c r="B164" s="9" t="inlineStr">
        <is>
          <t>Round of 64</t>
        </is>
      </c>
      <c r="C164" s="8" t="n">
        <v>5</v>
      </c>
      <c r="D164" s="9" t="inlineStr">
        <is>
          <t>Saint Mary's (CA)</t>
        </is>
      </c>
      <c r="E164" s="8" t="n">
        <v>12</v>
      </c>
      <c r="F164" s="9" t="inlineStr">
        <is>
          <t>Grand Canyon</t>
        </is>
      </c>
      <c r="G164" s="8" t="inlineStr">
        <is>
          <t>75–66</t>
        </is>
      </c>
      <c r="H164" s="8" t="n">
        <v>3</v>
      </c>
      <c r="I164" s="8" t="n">
        <v>4</v>
      </c>
      <c r="J164" s="8">
        <f>H164&amp;"-"&amp;I164</f>
        <v/>
      </c>
      <c r="K164" s="8" t="n">
        <v>1</v>
      </c>
      <c r="L164" s="8" t="n">
        <v>1</v>
      </c>
      <c r="M164" s="8">
        <f>K164&amp;"-"&amp;L164</f>
        <v/>
      </c>
      <c r="N164" s="8">
        <f>K164+L164</f>
        <v/>
      </c>
    </row>
    <row r="165">
      <c r="A165" s="8" t="n">
        <v>2024</v>
      </c>
      <c r="B165" s="9" t="inlineStr">
        <is>
          <t>Round of 64</t>
        </is>
      </c>
      <c r="C165" s="8" t="n">
        <v>5</v>
      </c>
      <c r="D165" s="9" t="inlineStr">
        <is>
          <t>Wisconsin</t>
        </is>
      </c>
      <c r="E165" s="8" t="n">
        <v>12</v>
      </c>
      <c r="F165" s="9" t="inlineStr">
        <is>
          <t>James Madison</t>
        </is>
      </c>
      <c r="G165" s="8" t="inlineStr">
        <is>
          <t>72–61</t>
        </is>
      </c>
      <c r="H165" s="8" t="n">
        <v>5</v>
      </c>
      <c r="I165" s="8" t="n">
        <v>2</v>
      </c>
      <c r="J165" s="8">
        <f>H165&amp;"-"&amp;I165</f>
        <v/>
      </c>
      <c r="K165" s="8" t="n">
        <v>0</v>
      </c>
      <c r="L165" s="8" t="n">
        <v>1</v>
      </c>
      <c r="M165" s="8">
        <f>K165&amp;"-"&amp;L165</f>
        <v/>
      </c>
      <c r="N165" s="8">
        <f>K165+L165</f>
        <v/>
      </c>
    </row>
    <row r="166">
      <c r="A166" s="8" t="n">
        <v>2024</v>
      </c>
      <c r="B166" s="9" t="inlineStr">
        <is>
          <t>Round of 64</t>
        </is>
      </c>
      <c r="C166" s="8" t="n">
        <v>6</v>
      </c>
      <c r="D166" s="9" t="inlineStr">
        <is>
          <t>BYU</t>
        </is>
      </c>
      <c r="E166" s="8" t="n">
        <v>11</v>
      </c>
      <c r="F166" s="9" t="inlineStr">
        <is>
          <t>Duquesne</t>
        </is>
      </c>
      <c r="G166" s="8" t="inlineStr">
        <is>
          <t>71–67</t>
        </is>
      </c>
      <c r="H166" s="8" t="n">
        <v>6</v>
      </c>
      <c r="I166" s="8" t="n">
        <v>0</v>
      </c>
      <c r="J166" s="8">
        <f>H166&amp;"-"&amp;I166</f>
        <v/>
      </c>
      <c r="K166" s="8" t="n">
        <v>1</v>
      </c>
      <c r="L166" s="8" t="n">
        <v>0</v>
      </c>
      <c r="M166" s="8">
        <f>K166&amp;"-"&amp;L166</f>
        <v/>
      </c>
      <c r="N166" s="8">
        <f>K166+L166</f>
        <v/>
      </c>
    </row>
    <row r="167">
      <c r="A167" s="8" t="n">
        <v>2024</v>
      </c>
      <c r="B167" s="9" t="inlineStr">
        <is>
          <t>Round of 64</t>
        </is>
      </c>
      <c r="C167" s="8" t="n">
        <v>6</v>
      </c>
      <c r="D167" s="9" t="inlineStr">
        <is>
          <t>Texas Tech</t>
        </is>
      </c>
      <c r="E167" s="8" t="n">
        <v>11</v>
      </c>
      <c r="F167" s="9" t="inlineStr">
        <is>
          <t>NC State</t>
        </is>
      </c>
      <c r="G167" s="8" t="inlineStr">
        <is>
          <t>80–67</t>
        </is>
      </c>
      <c r="H167" s="8" t="n">
        <v>5</v>
      </c>
      <c r="I167" s="8" t="n">
        <v>2</v>
      </c>
      <c r="J167" s="8">
        <f>H167&amp;"-"&amp;I167</f>
        <v/>
      </c>
      <c r="K167" s="8" t="n">
        <v>0</v>
      </c>
      <c r="L167" s="8" t="n">
        <v>1</v>
      </c>
      <c r="M167" s="8">
        <f>K167&amp;"-"&amp;L167</f>
        <v/>
      </c>
      <c r="N167" s="8">
        <f>K167+L167</f>
        <v/>
      </c>
    </row>
    <row r="168">
      <c r="A168" s="8" t="n">
        <v>2024</v>
      </c>
      <c r="B168" s="9" t="inlineStr">
        <is>
          <t>Round of 64</t>
        </is>
      </c>
      <c r="C168" s="8" t="n">
        <v>6</v>
      </c>
      <c r="D168" s="9" t="inlineStr">
        <is>
          <t>South Carolina</t>
        </is>
      </c>
      <c r="E168" s="8" t="n">
        <v>11</v>
      </c>
      <c r="F168" s="9" t="inlineStr">
        <is>
          <t>Oregon</t>
        </is>
      </c>
      <c r="G168" s="8" t="inlineStr">
        <is>
          <t>87–73</t>
        </is>
      </c>
      <c r="H168" s="8" t="n">
        <v>6</v>
      </c>
      <c r="I168" s="8" t="n">
        <v>0</v>
      </c>
      <c r="J168" s="8">
        <f>H168&amp;"-"&amp;I168</f>
        <v/>
      </c>
      <c r="K168" s="8" t="n">
        <v>0</v>
      </c>
      <c r="L168" s="8" t="n">
        <v>0</v>
      </c>
      <c r="M168" s="8">
        <f>K168&amp;"-"&amp;L168</f>
        <v/>
      </c>
      <c r="N168" s="8">
        <f>K168+L168</f>
        <v/>
      </c>
    </row>
    <row r="169">
      <c r="A169" s="8" t="n">
        <v>2025</v>
      </c>
      <c r="B169" s="9" t="inlineStr">
        <is>
          <t>Round of 64</t>
        </is>
      </c>
      <c r="C169" s="8" t="n">
        <v>5</v>
      </c>
      <c r="D169" s="9" t="inlineStr">
        <is>
          <t>Clemson</t>
        </is>
      </c>
      <c r="E169" s="8" t="n">
        <v>12</v>
      </c>
      <c r="F169" s="9" t="inlineStr">
        <is>
          <t>McNeese</t>
        </is>
      </c>
      <c r="G169" s="8" t="inlineStr">
        <is>
          <t>69–67</t>
        </is>
      </c>
      <c r="H169" s="8" t="n">
        <v>7</v>
      </c>
      <c r="I169" s="8" t="n">
        <v>1</v>
      </c>
      <c r="J169" s="8">
        <f>H169&amp;"-"&amp;I169</f>
        <v/>
      </c>
      <c r="K169" s="8" t="n">
        <v>0</v>
      </c>
      <c r="L169" s="8" t="n">
        <v>0</v>
      </c>
      <c r="M169" s="8">
        <f>K169&amp;"-"&amp;L169</f>
        <v/>
      </c>
      <c r="N169" s="8">
        <f>K169+L169</f>
        <v/>
      </c>
    </row>
    <row r="170">
      <c r="A170" s="8" t="n">
        <v>2025</v>
      </c>
      <c r="B170" s="9" t="inlineStr">
        <is>
          <t>Round of 64</t>
        </is>
      </c>
      <c r="C170" s="8" t="n">
        <v>5</v>
      </c>
      <c r="D170" s="9" t="inlineStr">
        <is>
          <t>Memphis</t>
        </is>
      </c>
      <c r="E170" s="8" t="n">
        <v>12</v>
      </c>
      <c r="F170" s="9" t="inlineStr">
        <is>
          <t>Colorado St.</t>
        </is>
      </c>
      <c r="G170" s="8" t="inlineStr">
        <is>
          <t>78–70</t>
        </is>
      </c>
      <c r="H170" s="8" t="n">
        <v>6</v>
      </c>
      <c r="I170" s="8" t="n">
        <v>1</v>
      </c>
      <c r="J170" s="8">
        <f>H170&amp;"-"&amp;I170</f>
        <v/>
      </c>
      <c r="K170" s="8" t="n">
        <v>3</v>
      </c>
      <c r="L170" s="8" t="n">
        <v>1</v>
      </c>
      <c r="M170" s="8">
        <f>K170&amp;"-"&amp;L170</f>
        <v/>
      </c>
      <c r="N170" s="8">
        <f>K170+L170</f>
        <v/>
      </c>
    </row>
    <row r="171">
      <c r="A171" s="8" t="n">
        <v>2025</v>
      </c>
      <c r="B171" s="9" t="inlineStr">
        <is>
          <t>Round of 64</t>
        </is>
      </c>
      <c r="C171" s="8" t="n">
        <v>6</v>
      </c>
      <c r="D171" s="9" t="inlineStr">
        <is>
          <t>Missouri</t>
        </is>
      </c>
      <c r="E171" s="8" t="n">
        <v>11</v>
      </c>
      <c r="F171" s="9" t="inlineStr">
        <is>
          <t>Drake</t>
        </is>
      </c>
      <c r="G171" s="8" t="inlineStr">
        <is>
          <t>67–57</t>
        </is>
      </c>
      <c r="H171" s="8" t="n">
        <v>6</v>
      </c>
      <c r="I171" s="8" t="n">
        <v>1</v>
      </c>
      <c r="J171" s="8">
        <f>H171&amp;"-"&amp;I171</f>
        <v/>
      </c>
      <c r="K171" s="8" t="n">
        <v>0</v>
      </c>
      <c r="L171" s="8" t="n">
        <v>0</v>
      </c>
      <c r="M171" s="8">
        <f>K171&amp;"-"&amp;L171</f>
        <v/>
      </c>
      <c r="N171" s="8">
        <f>K171+L171</f>
        <v/>
      </c>
    </row>
    <row r="172">
      <c r="A172" s="8" t="n">
        <v>2026</v>
      </c>
      <c r="B172" s="9" t="inlineStr">
        <is>
          <t>Round of 64</t>
        </is>
      </c>
      <c r="C172" s="8" t="n">
        <v>5</v>
      </c>
      <c r="D172" s="9" t="inlineStr">
        <is>
          <t>Wisconsin</t>
        </is>
      </c>
      <c r="E172" s="8" t="n">
        <v>12</v>
      </c>
      <c r="F172" s="9" t="inlineStr">
        <is>
          <t>High Point</t>
        </is>
      </c>
      <c r="G172" s="8" t="inlineStr">
        <is>
          <t>83–82</t>
        </is>
      </c>
      <c r="H172" s="8" t="n">
        <v>5</v>
      </c>
      <c r="I172" s="8" t="n">
        <v>2</v>
      </c>
      <c r="J172" s="8">
        <f>H172&amp;"-"&amp;I172</f>
        <v/>
      </c>
      <c r="K172" s="8" t="n">
        <v>0</v>
      </c>
      <c r="L172" s="8" t="n">
        <v>1</v>
      </c>
      <c r="M172" s="8">
        <f>K172&amp;"-"&amp;L172</f>
        <v/>
      </c>
      <c r="N172" s="8">
        <f>K172+L172</f>
        <v/>
      </c>
    </row>
    <row r="173">
      <c r="A173" s="8" t="n">
        <v>2026</v>
      </c>
      <c r="B173" s="9" t="inlineStr">
        <is>
          <t>Round of 64</t>
        </is>
      </c>
      <c r="C173" s="8" t="n">
        <v>6</v>
      </c>
      <c r="D173" s="9" t="inlineStr">
        <is>
          <t>BYU</t>
        </is>
      </c>
      <c r="E173" s="8" t="n">
        <v>11</v>
      </c>
      <c r="F173" s="9" t="inlineStr">
        <is>
          <t>Texas</t>
        </is>
      </c>
      <c r="G173" s="8" t="inlineStr">
        <is>
          <t>79–71</t>
        </is>
      </c>
      <c r="H173" s="8" t="n">
        <v>6</v>
      </c>
      <c r="I173" s="8" t="n">
        <v>1</v>
      </c>
      <c r="J173" s="8">
        <f>H173&amp;"-"&amp;I173</f>
        <v/>
      </c>
      <c r="K173" s="8" t="n">
        <v>3</v>
      </c>
      <c r="L173" s="8" t="n">
        <v>1</v>
      </c>
      <c r="M173" s="8">
        <f>K173&amp;"-"&amp;L173</f>
        <v/>
      </c>
      <c r="N173" s="8">
        <f>K173+L173</f>
        <v/>
      </c>
    </row>
    <row r="174">
      <c r="A174" s="8" t="n">
        <v>2026</v>
      </c>
      <c r="B174" s="9" t="inlineStr">
        <is>
          <t>Round of 64</t>
        </is>
      </c>
      <c r="C174" s="8" t="n">
        <v>6</v>
      </c>
      <c r="D174" s="9" t="inlineStr">
        <is>
          <t>North Carolina</t>
        </is>
      </c>
      <c r="E174" s="8" t="n">
        <v>11</v>
      </c>
      <c r="F174" s="9" t="inlineStr">
        <is>
          <t>VCU</t>
        </is>
      </c>
      <c r="G174" s="8" t="inlineStr">
        <is>
          <t>82–78</t>
        </is>
      </c>
      <c r="H174" s="8" t="n">
        <v>6</v>
      </c>
      <c r="I174" s="8" t="n">
        <v>1</v>
      </c>
      <c r="J174" s="8">
        <f>H174&amp;"-"&amp;I174</f>
        <v/>
      </c>
      <c r="K174" s="8" t="n">
        <v>1</v>
      </c>
      <c r="L174" s="8" t="n">
        <v>1</v>
      </c>
      <c r="M174" s="8">
        <f>K174&amp;"-"&amp;L174</f>
        <v/>
      </c>
      <c r="N174" s="8">
        <f>K174+L174</f>
        <v/>
      </c>
    </row>
    <row r="176">
      <c r="A176" s="10" t="inlineStr">
        <is>
          <t>Totals</t>
        </is>
      </c>
      <c r="B176" s="10" t="n"/>
      <c r="C176" s="10" t="n"/>
      <c r="D176" s="10" t="n"/>
      <c r="E176" s="10" t="n"/>
      <c r="F176" s="10" t="n"/>
      <c r="G176" s="10" t="n"/>
      <c r="H176" s="10">
        <f>SUM(H6:H174)</f>
        <v/>
      </c>
      <c r="I176" s="10">
        <f>SUM(I6:I174)</f>
        <v/>
      </c>
      <c r="J176" s="10">
        <f>H176&amp;"-"&amp;I176</f>
        <v/>
      </c>
      <c r="K176" s="10">
        <f>SUM(K6:K174)</f>
        <v/>
      </c>
      <c r="L176" s="10">
        <f>SUM(L6:L174)</f>
        <v/>
      </c>
      <c r="M176" s="10">
        <f>K176&amp;"-"&amp;L176</f>
        <v/>
      </c>
      <c r="N176" s="10" t="n"/>
    </row>
    <row r="177">
      <c r="A177" s="11" t="inlineStr">
        <is>
          <t>Teams with 2+ November losses</t>
        </is>
      </c>
      <c r="B177" s="11" t="n"/>
      <c r="C177" s="11" t="n"/>
      <c r="D177" s="11" t="n"/>
      <c r="E177" s="11" t="n"/>
      <c r="F177" s="11" t="n"/>
      <c r="G177" s="11" t="n"/>
      <c r="H177" s="11" t="n"/>
      <c r="I177" s="11">
        <f>COUNTIF(I6:I174,"&gt;=2")</f>
        <v/>
      </c>
      <c r="J177" s="11" t="n"/>
      <c r="K177" s="11" t="n"/>
      <c r="L177" s="11" t="n"/>
      <c r="M177" s="11" t="n"/>
      <c r="N177" s="11" t="n"/>
    </row>
    <row r="178">
      <c r="A178" s="11" t="inlineStr">
        <is>
          <t>Teams with no November games vs top 40</t>
        </is>
      </c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>
        <f>COUNTIF(N6:N174,0)</f>
        <v/>
      </c>
    </row>
    <row r="179">
      <c r="A179" s="11" t="inlineStr">
        <is>
          <t>Both</t>
        </is>
      </c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>
        <f>COUNTIFS(I6:I174,"&gt;=2",N6:N174,0)</f>
        <v/>
      </c>
    </row>
  </sheetData>
  <autoFilter ref="A5:N174"/>
  <conditionalFormatting sqref="A6:N174">
    <cfRule type="expression" priority="1" dxfId="0" stopIfTrue="1">
      <formula>AND($I6&gt;=2,$N6=0)</formula>
    </cfRule>
    <cfRule type="expression" priority="2" dxfId="1" stopIfTrue="1">
      <formula>$I6&gt;=2</formula>
    </cfRule>
    <cfRule type="expression" priority="3" dxfId="2" stopIfTrue="1">
      <formula>$N6=0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2026-10-27T19:27:27Z</dcterms:created>
  <dcterms:modified xmlns:dcterms="http://purl.org/dc/terms/" xmlns:xsi="http://www.w3.org/2001/XMLSchema-instance" xsi:type="dcterms:W3CDTF">2026-10-27T19:27:27Z</dcterms:modified>
</cp:coreProperties>
</file>